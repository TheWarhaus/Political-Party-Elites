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icz-my.sharepoint.com/personal/70186810_cuni_cz/Documents/GAUK Michal/parsing piratske forum/Political-Party-Elites/"/>
    </mc:Choice>
  </mc:AlternateContent>
  <xr:revisionPtr revIDLastSave="1520" documentId="8_{6E2DA951-1025-4594-9619-3EBED2F4E025}" xr6:coauthVersionLast="47" xr6:coauthVersionMax="47" xr10:uidLastSave="{8AF5A94E-2F6E-496A-9B28-17D77B18D3F7}"/>
  <bookViews>
    <workbookView xWindow="-110" yWindow="-110" windowWidth="25820" windowHeight="15500" xr2:uid="{1DB42438-E91C-4245-B718-50A85AE8CECB}"/>
  </bookViews>
  <sheets>
    <sheet name="Cze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84" i="1"/>
  <c r="H215" i="1"/>
  <c r="F215" i="1"/>
  <c r="H214" i="1"/>
  <c r="H213" i="1"/>
  <c r="H212" i="1"/>
  <c r="H211" i="1"/>
  <c r="H210" i="1"/>
  <c r="H209" i="1"/>
  <c r="H207" i="1"/>
  <c r="H208" i="1"/>
  <c r="H205" i="1"/>
  <c r="H206" i="1"/>
  <c r="H204" i="1"/>
  <c r="H203" i="1"/>
  <c r="H202" i="1"/>
  <c r="H201" i="1"/>
  <c r="H199" i="1"/>
  <c r="H198" i="1"/>
  <c r="H197" i="1"/>
  <c r="F197" i="1"/>
  <c r="F198" i="1"/>
  <c r="F199" i="1"/>
  <c r="F201" i="1"/>
  <c r="F202" i="1"/>
  <c r="F203" i="1"/>
  <c r="F204" i="1"/>
  <c r="F206" i="1"/>
  <c r="F205" i="1"/>
  <c r="F208" i="1"/>
  <c r="F207" i="1"/>
  <c r="F209" i="1"/>
  <c r="F210" i="1"/>
  <c r="F211" i="1"/>
  <c r="F212" i="1"/>
  <c r="F213" i="1"/>
  <c r="F214" i="1"/>
  <c r="H200" i="1"/>
  <c r="F200" i="1"/>
  <c r="H196" i="1"/>
  <c r="F196" i="1"/>
  <c r="H195" i="1"/>
  <c r="H194" i="1"/>
  <c r="H193" i="1"/>
  <c r="H192" i="1"/>
  <c r="H191" i="1"/>
  <c r="H190" i="1"/>
  <c r="H189" i="1"/>
  <c r="H188" i="1"/>
  <c r="H187" i="1"/>
  <c r="H186" i="1"/>
  <c r="F186" i="1"/>
  <c r="F187" i="1"/>
  <c r="F188" i="1"/>
  <c r="F189" i="1"/>
  <c r="F190" i="1"/>
  <c r="F191" i="1"/>
  <c r="F192" i="1"/>
  <c r="F193" i="1"/>
  <c r="F194" i="1"/>
  <c r="F195" i="1"/>
  <c r="H185" i="1"/>
  <c r="F185" i="1"/>
  <c r="H184" i="1"/>
  <c r="H183" i="1"/>
  <c r="F183" i="1"/>
  <c r="H55" i="1"/>
  <c r="F55" i="1"/>
  <c r="H54" i="1"/>
  <c r="F54" i="1"/>
  <c r="H56" i="1"/>
  <c r="H63" i="1"/>
  <c r="H57" i="1"/>
  <c r="H58" i="1"/>
  <c r="H59" i="1"/>
  <c r="H60" i="1"/>
  <c r="H61" i="1"/>
  <c r="H62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4" i="1"/>
  <c r="H96" i="1"/>
  <c r="H98" i="1"/>
  <c r="H101" i="1"/>
  <c r="H99" i="1"/>
  <c r="H100" i="1"/>
  <c r="H97" i="1"/>
  <c r="H102" i="1"/>
  <c r="H103" i="1"/>
  <c r="H104" i="1"/>
  <c r="H105" i="1"/>
  <c r="H106" i="1"/>
  <c r="H107" i="1"/>
  <c r="H108" i="1"/>
  <c r="H109" i="1"/>
  <c r="H111" i="1"/>
  <c r="H110" i="1"/>
  <c r="H112" i="1"/>
  <c r="H113" i="1"/>
  <c r="H114" i="1"/>
  <c r="H115" i="1"/>
  <c r="H116" i="1"/>
  <c r="H119" i="1"/>
  <c r="H117" i="1"/>
  <c r="H118" i="1"/>
  <c r="H120" i="1"/>
  <c r="H121" i="1"/>
  <c r="H122" i="1"/>
  <c r="H123" i="1"/>
  <c r="H124" i="1"/>
  <c r="H125" i="1"/>
  <c r="H126" i="1"/>
  <c r="H127" i="1"/>
  <c r="H128" i="1"/>
  <c r="H136" i="1"/>
  <c r="H129" i="1"/>
  <c r="H130" i="1"/>
  <c r="H131" i="1"/>
  <c r="H132" i="1"/>
  <c r="H133" i="1"/>
  <c r="H134" i="1"/>
  <c r="H135" i="1"/>
  <c r="H137" i="1"/>
  <c r="H138" i="1"/>
  <c r="H139" i="1"/>
  <c r="H140" i="1"/>
  <c r="H141" i="1"/>
  <c r="H142" i="1"/>
  <c r="H146" i="1"/>
  <c r="H144" i="1"/>
  <c r="H145" i="1"/>
  <c r="H143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6" i="1"/>
  <c r="H167" i="1"/>
  <c r="H168" i="1"/>
  <c r="H165" i="1"/>
  <c r="H169" i="1"/>
  <c r="H171" i="1"/>
  <c r="H170" i="1"/>
  <c r="H172" i="1"/>
  <c r="H173" i="1"/>
  <c r="H174" i="1"/>
  <c r="H175" i="1"/>
  <c r="H176" i="1"/>
  <c r="H177" i="1"/>
  <c r="H178" i="1"/>
  <c r="H179" i="1"/>
  <c r="H180" i="1"/>
  <c r="H181" i="1"/>
  <c r="H182" i="1"/>
  <c r="F56" i="1"/>
  <c r="F63" i="1"/>
  <c r="F57" i="1"/>
  <c r="F58" i="1"/>
  <c r="F59" i="1"/>
  <c r="F60" i="1"/>
  <c r="F61" i="1"/>
  <c r="F62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5" i="1"/>
  <c r="F94" i="1"/>
  <c r="F96" i="1"/>
  <c r="F98" i="1"/>
  <c r="F101" i="1"/>
  <c r="F99" i="1"/>
  <c r="F100" i="1"/>
  <c r="F97" i="1"/>
  <c r="F102" i="1"/>
  <c r="F103" i="1"/>
  <c r="F104" i="1"/>
  <c r="F105" i="1"/>
  <c r="F106" i="1"/>
  <c r="F107" i="1"/>
  <c r="F108" i="1"/>
  <c r="F109" i="1"/>
  <c r="F111" i="1"/>
  <c r="F110" i="1"/>
  <c r="F112" i="1"/>
  <c r="F113" i="1"/>
  <c r="F114" i="1"/>
  <c r="F115" i="1"/>
  <c r="F116" i="1"/>
  <c r="F119" i="1"/>
  <c r="F117" i="1"/>
  <c r="F118" i="1"/>
  <c r="F120" i="1"/>
  <c r="F121" i="1"/>
  <c r="F122" i="1"/>
  <c r="F123" i="1"/>
  <c r="F124" i="1"/>
  <c r="F125" i="1"/>
  <c r="F126" i="1"/>
  <c r="F127" i="1"/>
  <c r="F128" i="1"/>
  <c r="F136" i="1"/>
  <c r="F129" i="1"/>
  <c r="F130" i="1"/>
  <c r="F131" i="1"/>
  <c r="F132" i="1"/>
  <c r="F133" i="1"/>
  <c r="F134" i="1"/>
  <c r="F135" i="1"/>
  <c r="F137" i="1"/>
  <c r="F138" i="1"/>
  <c r="F139" i="1"/>
  <c r="F140" i="1"/>
  <c r="F141" i="1"/>
  <c r="F142" i="1"/>
  <c r="F146" i="1"/>
  <c r="F144" i="1"/>
  <c r="F145" i="1"/>
  <c r="F143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6" i="1"/>
  <c r="F167" i="1"/>
  <c r="F168" i="1"/>
  <c r="F165" i="1"/>
  <c r="F169" i="1"/>
  <c r="F171" i="1"/>
  <c r="F170" i="1"/>
  <c r="F172" i="1"/>
  <c r="F173" i="1"/>
  <c r="F174" i="1"/>
  <c r="F175" i="1"/>
  <c r="F176" i="1"/>
  <c r="F177" i="1"/>
  <c r="F178" i="1"/>
  <c r="F179" i="1"/>
  <c r="F180" i="1"/>
  <c r="F181" i="1"/>
  <c r="F182" i="1"/>
  <c r="H52" i="1"/>
  <c r="F52" i="1"/>
  <c r="H53" i="1"/>
  <c r="F53" i="1"/>
  <c r="H51" i="1"/>
  <c r="F51" i="1"/>
  <c r="H50" i="1"/>
  <c r="F50" i="1"/>
  <c r="H49" i="1"/>
  <c r="F49" i="1"/>
  <c r="H38" i="1"/>
  <c r="H48" i="1"/>
  <c r="H44" i="1"/>
  <c r="H43" i="1"/>
  <c r="H47" i="1"/>
  <c r="H46" i="1"/>
  <c r="H45" i="1"/>
  <c r="F42" i="1"/>
  <c r="H42" i="1"/>
  <c r="F44" i="1"/>
  <c r="F41" i="1"/>
  <c r="F45" i="1"/>
  <c r="F46" i="1"/>
  <c r="F47" i="1"/>
  <c r="F43" i="1"/>
  <c r="F48" i="1"/>
  <c r="F38" i="1"/>
  <c r="H41" i="1"/>
  <c r="H40" i="1"/>
  <c r="F40" i="1"/>
  <c r="H39" i="1"/>
  <c r="F39" i="1"/>
  <c r="H37" i="1"/>
  <c r="H36" i="1"/>
  <c r="H35" i="1"/>
  <c r="H34" i="1"/>
  <c r="H33" i="1"/>
  <c r="H32" i="1"/>
  <c r="H31" i="1"/>
  <c r="H30" i="1"/>
  <c r="H29" i="1"/>
  <c r="F28" i="1"/>
  <c r="F29" i="1"/>
  <c r="F30" i="1"/>
  <c r="F31" i="1"/>
  <c r="F32" i="1"/>
  <c r="F33" i="1"/>
  <c r="F34" i="1"/>
  <c r="F35" i="1"/>
  <c r="F36" i="1"/>
  <c r="F37" i="1"/>
  <c r="H28" i="1"/>
  <c r="H27" i="1"/>
  <c r="F27" i="1"/>
  <c r="H26" i="1"/>
  <c r="F26" i="1"/>
  <c r="H25" i="1"/>
  <c r="F25" i="1"/>
  <c r="H24" i="1"/>
  <c r="H23" i="1"/>
  <c r="H21" i="1"/>
  <c r="F19" i="1"/>
  <c r="F22" i="1"/>
  <c r="F21" i="1"/>
  <c r="F23" i="1"/>
  <c r="F24" i="1"/>
  <c r="F20" i="1"/>
  <c r="F18" i="1"/>
  <c r="H3" i="1"/>
  <c r="H7" i="1"/>
  <c r="H5" i="1"/>
  <c r="H6" i="1"/>
  <c r="H8" i="1"/>
  <c r="H4" i="1"/>
  <c r="H9" i="1"/>
  <c r="H10" i="1"/>
  <c r="H11" i="1"/>
  <c r="H12" i="1"/>
  <c r="H13" i="1"/>
  <c r="H14" i="1"/>
  <c r="H15" i="1"/>
  <c r="H16" i="1"/>
  <c r="H17" i="1"/>
  <c r="H18" i="1"/>
  <c r="H20" i="1"/>
  <c r="H19" i="1"/>
  <c r="H22" i="1"/>
  <c r="F3" i="1"/>
  <c r="F7" i="1"/>
  <c r="F5" i="1"/>
  <c r="F6" i="1"/>
  <c r="F8" i="1"/>
  <c r="F4" i="1"/>
  <c r="F9" i="1"/>
  <c r="F10" i="1"/>
  <c r="F11" i="1"/>
  <c r="F12" i="1"/>
  <c r="F13" i="1"/>
  <c r="F14" i="1"/>
  <c r="F15" i="1"/>
  <c r="F16" i="1"/>
  <c r="F17" i="1"/>
  <c r="H2" i="1"/>
</calcChain>
</file>

<file path=xl/sharedStrings.xml><?xml version="1.0" encoding="utf-8"?>
<sst xmlns="http://schemas.openxmlformats.org/spreadsheetml/2006/main" count="652" uniqueCount="217">
  <si>
    <t>Název</t>
  </si>
  <si>
    <t>Do</t>
  </si>
  <si>
    <t>Members</t>
  </si>
  <si>
    <t>Turnout</t>
  </si>
  <si>
    <t>Comments</t>
  </si>
  <si>
    <t>Změna JdŘ</t>
  </si>
  <si>
    <t>Změna složení strategického týmu</t>
  </si>
  <si>
    <t>Informace členům o stáhnutí žaloby</t>
  </si>
  <si>
    <t>Odvolání Jakuba Michálka z RP</t>
  </si>
  <si>
    <t xml:space="preserve">Mimořádný přezkum usnesení RP ke stažení žaloby </t>
  </si>
  <si>
    <t>Odstranění Google Analytics ze stranických systém</t>
  </si>
  <si>
    <t>Volba vedoucího PO</t>
  </si>
  <si>
    <t>Doplňující volba rozhodčí komise</t>
  </si>
  <si>
    <t>Změna Jednacího řádu CF (A)</t>
  </si>
  <si>
    <t>Změna Jednacího řádu CF (B)</t>
  </si>
  <si>
    <t>Změna Jednacího řádu CF (C)</t>
  </si>
  <si>
    <t>Změna Jednacího řádu CF (D)</t>
  </si>
  <si>
    <t>Změna Jednacího řádu CF (E)</t>
  </si>
  <si>
    <t>Změna Jednacího řádu CF (G)</t>
  </si>
  <si>
    <t>Volba Republikového předsednictva</t>
  </si>
  <si>
    <t>[Změna stanov] Přijímání členů</t>
  </si>
  <si>
    <t>Omezení kumulace funkcí, část 1 (změna stanov)</t>
  </si>
  <si>
    <t>Volba zástupců CF do strategického týmu</t>
  </si>
  <si>
    <t>Volba kontrolní komise</t>
  </si>
  <si>
    <t>Přebytkový rozpočet</t>
  </si>
  <si>
    <t>Volba Republikového výboru</t>
  </si>
  <si>
    <t>Doplňující volba kontrolní komise</t>
  </si>
  <si>
    <t>Omezení rozhodujících hlasování v době státních svátků</t>
  </si>
  <si>
    <t>Volba zástupce CF ve volebním výboru</t>
  </si>
  <si>
    <t>Senát - obvod 8 Rokycansko</t>
  </si>
  <si>
    <t>Volba vedoucího Mediálního odboru</t>
  </si>
  <si>
    <t>Doplňující volba zástupce CF ve strategickém týmu</t>
  </si>
  <si>
    <t>Volba vedoucího Administrativního odboru</t>
  </si>
  <si>
    <t>Volba vedoucího Technického odboru</t>
  </si>
  <si>
    <t>Změna JdŘ - Dvouletý mandát krajských zástupců v RV</t>
  </si>
  <si>
    <t>Mimořádný přezkum - usnesení RP o smlouvě na dodávku SW</t>
  </si>
  <si>
    <t>Podpora ukončení střídání času</t>
  </si>
  <si>
    <t>Zdanění církevních restitucí</t>
  </si>
  <si>
    <t>Hlavní cíle Pirátské strategie</t>
  </si>
  <si>
    <t>Změna ZřKO - vedoucí kanceláře strany</t>
  </si>
  <si>
    <t>Změna JdŘ - nominace pro volby do EP</t>
  </si>
  <si>
    <t>[Změna stanov] Zánik a pozastavení členství</t>
  </si>
  <si>
    <t>[Změna stanov] Technická novela</t>
  </si>
  <si>
    <t>Kandidátní listina pro volby do EP</t>
  </si>
  <si>
    <t>Změna JdŘ CF - navrhování kandidátů</t>
  </si>
  <si>
    <t>Volba vedoucího zahraničního odboru</t>
  </si>
  <si>
    <t>Mimořádný přezkum - usnesení RP o nové NDA</t>
  </si>
  <si>
    <t>Doplňující volba členů republikového výboru</t>
  </si>
  <si>
    <t>Výroční finanční zpráva</t>
  </si>
  <si>
    <t>Volba rozhodčí komise</t>
  </si>
  <si>
    <t>Podpora zákazu obřízek nezletilých</t>
  </si>
  <si>
    <t>Odbornost ministrů za Piráty</t>
  </si>
  <si>
    <t>Pořad zasedání - hlasovací systém volby místopředsedů</t>
  </si>
  <si>
    <t>Odvolání místopředsedy Jakuba Michálka</t>
  </si>
  <si>
    <t>Vzorový kodex zastupitele</t>
  </si>
  <si>
    <t>Změna stanov - zánik členství při dlouhodobém neplatičství</t>
  </si>
  <si>
    <t>Volba předsedy České pirátské strany - 1.kolo</t>
  </si>
  <si>
    <t>Volba místopředsedů České pirátské strany - 1.kolo</t>
  </si>
  <si>
    <t>Volba 1.místopředsedy České pirátské strany</t>
  </si>
  <si>
    <t>Volba 2.místopředsedy České pirátské strany</t>
  </si>
  <si>
    <t>Volba 3.místopředsedy České pirátské strany</t>
  </si>
  <si>
    <t>Volba 4.místopředsedy České pirátské strany</t>
  </si>
  <si>
    <t>Volba vedoucího administrativního odboru</t>
  </si>
  <si>
    <t>Doplňující volba republikového výboru</t>
  </si>
  <si>
    <t>Přezkum schválení kandidátky do senátních voleb obvod č. 32</t>
  </si>
  <si>
    <t>Přezkum rozhodnutí KF Praha ve věci Kodexu zastupitele</t>
  </si>
  <si>
    <t>Výroční zpráva předsedy (2019)</t>
  </si>
  <si>
    <t>Volba vedoucího mediálního odboru - 1. kolo</t>
  </si>
  <si>
    <t>Volba vedoucího mediálního odboru - 2. kolo</t>
  </si>
  <si>
    <t>Procedura - přerušení jednán</t>
  </si>
  <si>
    <t>Odvolání Jana Nováka z kontrolní komise</t>
  </si>
  <si>
    <t>Dovolba kontrolní komise 1. kolo</t>
  </si>
  <si>
    <t>Podpora pro analytické práce k volbám 2021 - varianty postupu</t>
  </si>
  <si>
    <t>Předpis o interním auditu</t>
  </si>
  <si>
    <t>Mimořádný přezkum usnesení RV 29/2020- Aktualizace stanoviska k Euru</t>
  </si>
  <si>
    <t>Primární volby do předsednictva PP-EU 1. kolo</t>
  </si>
  <si>
    <t>Primární volby do předsednictva PP-EU - 2. kolo</t>
  </si>
  <si>
    <t>Prodloužení jednání (procedurální hlasování)</t>
  </si>
  <si>
    <t>Rozhodnutí o postupu ve volbách 2021 (1. kolo)</t>
  </si>
  <si>
    <t>Dovolba Rozhodčí komise</t>
  </si>
  <si>
    <t>Volba celostátního lídra</t>
  </si>
  <si>
    <t>Změna JdŘ - Zasedání na Internetu</t>
  </si>
  <si>
    <t>Změna JdŘ - schvalování více návrhů v jednom hlasování (1. kolo)</t>
  </si>
  <si>
    <t>Diskusní skupiny na systémech třetích stran</t>
  </si>
  <si>
    <t>Schválení koaliční smlouvy se STAN - 1. kolo</t>
  </si>
  <si>
    <t>Změna stanov – organizační novela - 1.kolo</t>
  </si>
  <si>
    <t>Změna stanov – organizační novela - 2.kolo</t>
  </si>
  <si>
    <t>Změna stanov – přidání Institutu</t>
  </si>
  <si>
    <t>Ochrana šifrované komunikace - 1. kolo</t>
  </si>
  <si>
    <t>Prováděcí předpis ke koaliční smlouvě - procedruální návrh</t>
  </si>
  <si>
    <t>Prováděcí předpis ke koaliční smlouvě</t>
  </si>
  <si>
    <t>Založení politického institutu</t>
  </si>
  <si>
    <t>Změna Jednacího řádu CF ve věci vládního týmu</t>
  </si>
  <si>
    <t>Volba členů správní rady institutu - 1. kolo</t>
  </si>
  <si>
    <t>Volba členů správní rady institutu - 2. kolo</t>
  </si>
  <si>
    <t>Zahájení volby republikového výboru</t>
  </si>
  <si>
    <t>Výroční finanční zpráva za rok 2020</t>
  </si>
  <si>
    <t>Výroční zpráva předsedy - 1.kolo</t>
  </si>
  <si>
    <t>Volba republikového výboru - procedurální hlasování o přijetí pozdních nominací</t>
  </si>
  <si>
    <t>Volba republikového výboru 1. kolo</t>
  </si>
  <si>
    <t>Dovolba kontrolní komise</t>
  </si>
  <si>
    <t>Volba vedení Zahraničního odboru</t>
  </si>
  <si>
    <t>Doplňující volba republikového výboru 1. kolo</t>
  </si>
  <si>
    <t>Volba vládního týmu</t>
  </si>
  <si>
    <t>Převolba vedoucí PO - 1.kolo</t>
  </si>
  <si>
    <t>Převolba vedoucí PO - 2.kolo</t>
  </si>
  <si>
    <t>Název Institutu - 1. kolo</t>
  </si>
  <si>
    <t>Volba Rozhodčí komise</t>
  </si>
  <si>
    <t>Dovolba vládního týmu</t>
  </si>
  <si>
    <t>Mimořádný přezkum rozhodčího nálezu</t>
  </si>
  <si>
    <t>Vedoucí technického odboru - volba - 1. kolo</t>
  </si>
  <si>
    <t>Vedoucí technického odboru - volba - 2. kolo</t>
  </si>
  <si>
    <t>Změna JdŘ - Jednotná lhůta na rozmyšlenou v referendech</t>
  </si>
  <si>
    <t>Primárky do předsednictva PP-EU 2021</t>
  </si>
  <si>
    <t>Primárky do předsednictva PP-EU 2021 - 2.kolo</t>
  </si>
  <si>
    <t>Procedurální hlasování k CF 28/2021 - Ne/veřejnost jednání o Vládní koaliční smlouvě</t>
  </si>
  <si>
    <t>2. procedurální hlasování CF 28/2021</t>
  </si>
  <si>
    <t>Schválení účasti ve vládě</t>
  </si>
  <si>
    <t>Dodatečná nominace do vlády</t>
  </si>
  <si>
    <t>Pořad jednání zasedání CF 2022 v Pardubicích</t>
  </si>
  <si>
    <t>Pořad jednání zasedání CF 2022 v Pardubicích - 2.kolo</t>
  </si>
  <si>
    <t>Námitka proti postupu předsedající</t>
  </si>
  <si>
    <t>Způsob volby místopředsedů</t>
  </si>
  <si>
    <t>Změny jednacího řádu</t>
  </si>
  <si>
    <t>Změna Stanov - Zvýšení počtu členů RP na sedm - 1. kolo</t>
  </si>
  <si>
    <t>Volba předsedy/předsedkyně České pirátské strany - 1. kolo</t>
  </si>
  <si>
    <t>Volba místopředsedů a místopředsedkyň České pirátské strany - 1. kolo</t>
  </si>
  <si>
    <t>Volba předsedy České pirátské strany - 2. kolo</t>
  </si>
  <si>
    <t>Volba 1. místopředsedy/kyně</t>
  </si>
  <si>
    <t>Volba 2. místopředsedy/kyně</t>
  </si>
  <si>
    <t>Volba 3. místopředsedy/kyně</t>
  </si>
  <si>
    <t>Volba 4. místopředsedy</t>
  </si>
  <si>
    <t>Odvolání Jana Lejčka z rozhodčí komise</t>
  </si>
  <si>
    <t>Doplnění Pravidel pro nominace</t>
  </si>
  <si>
    <t>Ne/veřejnost jednání o distancu od smlouvy o Turówu</t>
  </si>
  <si>
    <t>Odsouzení fyzických trestů - 1. kolo</t>
  </si>
  <si>
    <t>Výroční zpráva předsedy České pirátské strany za rok 2021</t>
  </si>
  <si>
    <t>Distancování se od smlouvy uzavřené s Polskem ohledně dolu Turów</t>
  </si>
  <si>
    <t>Respekt k soukromí dětí v oficiální propagaci stran</t>
  </si>
  <si>
    <t>Volba vedení Zahraničního odboru 1. kolo</t>
  </si>
  <si>
    <t>Začlenění Mladého Pirátstva</t>
  </si>
  <si>
    <t>Schválení výroční finanční zprávy za rok 2021</t>
  </si>
  <si>
    <t>Neveřejnost jednání</t>
  </si>
  <si>
    <t>Aktualizace Všeobecného kodexu zastupitele - 1. kolo</t>
  </si>
  <si>
    <t>Odložené zveřejňování obsahu podnětů a jednání</t>
  </si>
  <si>
    <t>Výjimka z kumulace funkcí pro Ivana Bartoše</t>
  </si>
  <si>
    <t>Volba vedení Administrativního odboru</t>
  </si>
  <si>
    <t>Volba vedení Administrativního odboru - 2.kolo</t>
  </si>
  <si>
    <t>Mimořádný přezkum usnesení MS Praha 1 ve věci schválení koaliční smlouvy</t>
  </si>
  <si>
    <t>Primární volby do vedení PPI 1. kolo</t>
  </si>
  <si>
    <t>Primární volby do vedení PPI 2. kolo</t>
  </si>
  <si>
    <t>Zřízení resortní sekce</t>
  </si>
  <si>
    <t>Podnikání členů strany ve shodě s programovými hodnotami - 1. kolo</t>
  </si>
  <si>
    <t>Reforma formy dlouhodobého programu</t>
  </si>
  <si>
    <t>Změna článku 2 Stanov - Návrh postupu o hlasování po odstavcích</t>
  </si>
  <si>
    <t>Sestavení pořadu na Zasedání CF v dubnu 2023 - 1. kolo</t>
  </si>
  <si>
    <t>Novela jednacího řádu CF ve věci kandidáta na komisaře Evropské komise</t>
  </si>
  <si>
    <t>Sestavení pořadu na Zasedání CF v dubnu 2023 - 2. kolo</t>
  </si>
  <si>
    <t>Změna článku 2 Stanov 1. kolo</t>
  </si>
  <si>
    <t>Výběr vedoucích odborů výběrovým řízením 1. kolo</t>
  </si>
  <si>
    <t>Volba vedoucího MO - Návrh postupu o přerušení jednání</t>
  </si>
  <si>
    <t>Neschvalování Finanční zprávy</t>
  </si>
  <si>
    <t>Volba vedoucího MO</t>
  </si>
  <si>
    <t>Výroční zpráva předsedy 2022 (hlasování)</t>
  </si>
  <si>
    <t>Dovolba republikového výboru</t>
  </si>
  <si>
    <t>Odvolání Janky Michailidu z RV - opravné procedurální hlasován</t>
  </si>
  <si>
    <t>Procedurální hlasování - odročení na řádné jednání</t>
  </si>
  <si>
    <t>Odvolání Janky Michailidu z funkce členky Republikového výboru</t>
  </si>
  <si>
    <t>Zveřejnění jednání</t>
  </si>
  <si>
    <t>Pozice Pirátské strany k Pavlu Blažkovi (hlasování)</t>
  </si>
  <si>
    <t>Distanc</t>
  </si>
  <si>
    <t>Volba vedoucího Personálního odboru</t>
  </si>
  <si>
    <t>Postup primárek do EP na zasedání</t>
  </si>
  <si>
    <t>Postup primárek do EP na zasedání - 2. kolo</t>
  </si>
  <si>
    <t>Mimořádný přezkum rozhodnutí RK ve věci stížnosti #40967</t>
  </si>
  <si>
    <t>Attempt</t>
  </si>
  <si>
    <t>RV</t>
  </si>
  <si>
    <t>Administrative</t>
  </si>
  <si>
    <t>RP</t>
  </si>
  <si>
    <t>Volba vedoucího personálního odboru</t>
  </si>
  <si>
    <t>Dovolba republikového výboru 1. kolo</t>
  </si>
  <si>
    <t>Date</t>
  </si>
  <si>
    <t>Voters</t>
  </si>
  <si>
    <t>Navržení okamžitého odvolání Blažka</t>
  </si>
  <si>
    <t> Volba lídra v primárních volbách do EP 1. kolo</t>
  </si>
  <si>
    <t>Volba lídra v primárních volbách do EP 2. kolo</t>
  </si>
  <si>
    <t>Volba čela v primárních volbách do EP 1.kolo</t>
  </si>
  <si>
    <t>Volba čela v primárních volbách do EP 2. kolo</t>
  </si>
  <si>
    <t>Volba čela v primárních volbách do EP 3. kolo</t>
  </si>
  <si>
    <t>Volba čela v primárních volbách do EP 4. kolo</t>
  </si>
  <si>
    <t>Volba dalších kandidátů v primárních volbách do EP 1. kolo 6.-12. pozice</t>
  </si>
  <si>
    <t>Volba vedoucího Technického odboru- 2. kolo</t>
  </si>
  <si>
    <t>Volba dalších kandidátů v primárních volbách do EP 1. kolo 10.-12. pozice</t>
  </si>
  <si>
    <t>Volba dalších kandidátů v primárních volbách do EP 2. kolo 6.-9. pozice</t>
  </si>
  <si>
    <t>Volba dalších kandidátů v primárkách do EP 1. kolo 10.-12.pozice - opakované hlasování</t>
  </si>
  <si>
    <t>Volba kandidáta na komisaře Evropské komise</t>
  </si>
  <si>
    <t>Volba dalších kandidátů v primárkách do EP 2. kolo 10.-12.pozice</t>
  </si>
  <si>
    <t>Volba dalších kandidátů v primárních volbách do EP 1. kolo 13.-28. pozice</t>
  </si>
  <si>
    <t>Odvolání Jakuba Michálka z Republikového výboru - 1. kolo</t>
  </si>
  <si>
    <t>Volba dalších kandidátů v primárních volbách do EP 2. kolo 13.-21. pozice</t>
  </si>
  <si>
    <t>Sestavení kandidátní listiny pro volby do EP usnesením (22.-28. pozice)</t>
  </si>
  <si>
    <t>Analýza plnění volebního programu</t>
  </si>
  <si>
    <t>Volba členů správní rady institutu - Návrh postupu na prodloužení lhůty na navrhování</t>
  </si>
  <si>
    <t>Volba členů správní rady institutu 1.kolo</t>
  </si>
  <si>
    <t>Návrh na změnu stanov - Rozšíření RP na 7 členů</t>
  </si>
  <si>
    <t>Volba členů správní rady institutu - 2.kolo</t>
  </si>
  <si>
    <t>Zanalyzování efektivnosti hospodaření našeho politického institutu - 1. kolo</t>
  </si>
  <si>
    <t>Volba předsedy/předsedkyně České pirátské strany - 2. kolo</t>
  </si>
  <si>
    <t>Volba místopředsedů České pirátské strany - 1. kolo</t>
  </si>
  <si>
    <t>Volba 3. a 4. místopředsedy České pirátské strany - 3. kolo</t>
  </si>
  <si>
    <t>Volba Republikového předsednictva - volba místopředsedů - 2. kolo</t>
  </si>
  <si>
    <t>Volba členů/ek kontrolní komise</t>
  </si>
  <si>
    <t>Mimořádný přezkum smlouvy na FR major donors</t>
  </si>
  <si>
    <t>Type</t>
  </si>
  <si>
    <t>Consultation</t>
  </si>
  <si>
    <t>Primary election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</si>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</sst>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1" fontId="0" fillId="0" borderId="0" xfId="0" applyNumberFormat="1"/>
    <xf numFmtId="14" fontId="0" fillId="0" borderId="0" xfId="1" applyNumberFormat="1" applyFont="1"/>
    <xf numFmtId="14" fontId="0" fillId="0" borderId="0" xfId="1" applyNumberFormat="1" applyFont="1" applyFill="1"/>
    <xf numFmtId="1" fontId="0" fillId="0" borderId="0" xfId="0" applyNumberFormat="1" applyAlignment="1">
      <alignment wrapText="1"/>
    </xf>
    <xf numFmtId="0" fontId="0" fillId="0" borderId="0" xfId="2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67D5-2084-4ED8-A89F-B193CEF03AB1}">
  <dimension ref="A1:L215"/>
  <sheetViews>
    <sheetView tabSelected="1" workbookViewId="0">
      <selection activeCell="J2" sqref="J2"/>
    </sheetView>
  </sheetViews>
  <sheetFormatPr defaultRowHeight="14.5" x14ac:dyDescent="0.35"/>
  <cols>
    <col min="1" max="2" width="42" customWidth="1"/>
    <col min="3" max="4" width="10.08984375" bestFit="1" customWidth="1"/>
    <col min="6" max="6" width="10.08984375" bestFit="1" customWidth="1"/>
    <col min="8" max="8" width="9.453125" bestFit="1" customWidth="1"/>
    <col min="9" max="9" width="11" customWidth="1"/>
    <col min="10" max="10" width="15.1796875" customWidth="1"/>
    <col min="11" max="11" width="10" customWidth="1"/>
  </cols>
  <sheetData>
    <row r="1" spans="1:12" x14ac:dyDescent="0.35">
      <c r="A1" s="3" t="s">
        <v>0</v>
      </c>
      <c r="B1" s="3" t="s">
        <v>213</v>
      </c>
      <c r="C1" s="3" t="s">
        <v>181</v>
      </c>
      <c r="D1" s="3" t="s">
        <v>1</v>
      </c>
      <c r="E1" s="3" t="s">
        <v>182</v>
      </c>
      <c r="F1" s="3" t="s">
        <v>216</v>
      </c>
      <c r="G1" s="3" t="s">
        <v>2</v>
      </c>
      <c r="H1" s="3" t="s">
        <v>3</v>
      </c>
      <c r="I1" s="3" t="s">
        <v>4</v>
      </c>
      <c r="J1" s="3" t="s">
        <v>175</v>
      </c>
      <c r="K1" s="3"/>
    </row>
    <row r="2" spans="1:12" x14ac:dyDescent="0.35">
      <c r="A2" t="s">
        <v>5</v>
      </c>
      <c r="B2" t="s">
        <v>214</v>
      </c>
      <c r="C2" s="1">
        <v>43056</v>
      </c>
      <c r="D2" s="1">
        <v>43059</v>
      </c>
      <c r="E2">
        <v>105</v>
      </c>
      <c r="F2">
        <f t="shared" ref="F2" si="0">_xlfn.DAYS(D2,C2)</f>
        <v>3</v>
      </c>
      <c r="G2">
        <v>513</v>
      </c>
      <c r="H2" s="2">
        <f t="shared" ref="H2" si="1">E2/G2</f>
        <v>0.2046783625730994</v>
      </c>
      <c r="I2">
        <v>22</v>
      </c>
      <c r="J2" t="s">
        <v>176</v>
      </c>
    </row>
    <row r="3" spans="1:12" x14ac:dyDescent="0.35">
      <c r="A3" t="s">
        <v>6</v>
      </c>
      <c r="B3" t="s">
        <v>214</v>
      </c>
      <c r="C3" s="1">
        <v>43056</v>
      </c>
      <c r="D3" s="1">
        <v>43059</v>
      </c>
      <c r="E3">
        <v>138</v>
      </c>
      <c r="F3">
        <f t="shared" ref="F3:F34" si="2">_xlfn.DAYS(D3,C3)</f>
        <v>3</v>
      </c>
      <c r="G3">
        <v>513</v>
      </c>
      <c r="H3" s="2">
        <f t="shared" ref="H3:H66" si="3">E3/G3</f>
        <v>0.26900584795321636</v>
      </c>
      <c r="I3">
        <v>11</v>
      </c>
      <c r="J3" t="s">
        <v>2</v>
      </c>
      <c r="L3" s="2"/>
    </row>
    <row r="4" spans="1:12" x14ac:dyDescent="0.35">
      <c r="A4" t="s">
        <v>11</v>
      </c>
      <c r="B4" t="s">
        <v>215</v>
      </c>
      <c r="C4" s="1">
        <v>43063</v>
      </c>
      <c r="D4" s="1">
        <v>43066</v>
      </c>
      <c r="E4">
        <v>156</v>
      </c>
      <c r="F4">
        <f t="shared" si="2"/>
        <v>3</v>
      </c>
      <c r="G4">
        <v>513</v>
      </c>
      <c r="H4" s="2">
        <f t="shared" si="3"/>
        <v>0.30409356725146197</v>
      </c>
      <c r="I4">
        <v>109</v>
      </c>
      <c r="J4" t="s">
        <v>177</v>
      </c>
    </row>
    <row r="5" spans="1:12" x14ac:dyDescent="0.35">
      <c r="A5" t="s">
        <v>8</v>
      </c>
      <c r="B5" t="s">
        <v>214</v>
      </c>
      <c r="C5" s="1">
        <v>43070</v>
      </c>
      <c r="D5" s="1">
        <v>43073</v>
      </c>
      <c r="E5">
        <v>321</v>
      </c>
      <c r="F5">
        <f t="shared" si="2"/>
        <v>3</v>
      </c>
      <c r="G5">
        <v>513</v>
      </c>
      <c r="H5" s="2">
        <f t="shared" si="3"/>
        <v>0.6257309941520468</v>
      </c>
      <c r="I5">
        <v>93</v>
      </c>
      <c r="J5" t="s">
        <v>2</v>
      </c>
    </row>
    <row r="6" spans="1:12" x14ac:dyDescent="0.35">
      <c r="A6" t="s">
        <v>9</v>
      </c>
      <c r="B6" t="s">
        <v>214</v>
      </c>
      <c r="C6" s="1">
        <v>43070</v>
      </c>
      <c r="D6" s="1">
        <v>43073</v>
      </c>
      <c r="E6">
        <v>166</v>
      </c>
      <c r="F6">
        <f t="shared" si="2"/>
        <v>3</v>
      </c>
      <c r="G6">
        <v>513</v>
      </c>
      <c r="H6" s="2">
        <f t="shared" si="3"/>
        <v>0.3235867446393762</v>
      </c>
      <c r="I6">
        <v>13</v>
      </c>
      <c r="J6" t="s">
        <v>2</v>
      </c>
    </row>
    <row r="7" spans="1:12" x14ac:dyDescent="0.35">
      <c r="A7" t="s">
        <v>7</v>
      </c>
      <c r="B7" t="s">
        <v>214</v>
      </c>
      <c r="C7" s="1">
        <v>43070</v>
      </c>
      <c r="D7" s="1">
        <v>43074</v>
      </c>
      <c r="E7">
        <v>147</v>
      </c>
      <c r="F7">
        <f t="shared" si="2"/>
        <v>4</v>
      </c>
      <c r="G7">
        <v>513</v>
      </c>
      <c r="H7" s="2">
        <f t="shared" si="3"/>
        <v>0.28654970760233917</v>
      </c>
      <c r="I7">
        <v>34</v>
      </c>
      <c r="J7" t="s">
        <v>2</v>
      </c>
    </row>
    <row r="8" spans="1:12" x14ac:dyDescent="0.35">
      <c r="A8" t="s">
        <v>10</v>
      </c>
      <c r="B8" t="s">
        <v>214</v>
      </c>
      <c r="C8" s="1">
        <v>43070</v>
      </c>
      <c r="D8" s="1">
        <v>43074</v>
      </c>
      <c r="E8">
        <v>135</v>
      </c>
      <c r="F8">
        <f t="shared" si="2"/>
        <v>4</v>
      </c>
      <c r="G8">
        <v>513</v>
      </c>
      <c r="H8" s="2">
        <f t="shared" si="3"/>
        <v>0.26315789473684209</v>
      </c>
      <c r="I8">
        <v>29</v>
      </c>
      <c r="J8" t="s">
        <v>2</v>
      </c>
    </row>
    <row r="9" spans="1:12" x14ac:dyDescent="0.35">
      <c r="A9" t="s">
        <v>12</v>
      </c>
      <c r="B9" t="s">
        <v>215</v>
      </c>
      <c r="C9" s="1">
        <v>43077</v>
      </c>
      <c r="D9" s="1">
        <v>43080</v>
      </c>
      <c r="E9">
        <v>103</v>
      </c>
      <c r="F9">
        <f t="shared" si="2"/>
        <v>3</v>
      </c>
      <c r="G9">
        <v>513</v>
      </c>
      <c r="H9" s="2">
        <f t="shared" si="3"/>
        <v>0.20077972709551656</v>
      </c>
      <c r="I9">
        <v>26</v>
      </c>
      <c r="J9" t="s">
        <v>177</v>
      </c>
    </row>
    <row r="10" spans="1:12" x14ac:dyDescent="0.35">
      <c r="A10" t="s">
        <v>13</v>
      </c>
      <c r="B10" t="s">
        <v>214</v>
      </c>
      <c r="C10" s="1">
        <v>43084</v>
      </c>
      <c r="D10" s="1">
        <v>43087</v>
      </c>
      <c r="E10">
        <v>58</v>
      </c>
      <c r="F10">
        <f t="shared" si="2"/>
        <v>3</v>
      </c>
      <c r="G10">
        <v>522</v>
      </c>
      <c r="H10" s="2">
        <f t="shared" si="3"/>
        <v>0.1111111111111111</v>
      </c>
      <c r="I10">
        <v>5</v>
      </c>
      <c r="J10" t="s">
        <v>176</v>
      </c>
    </row>
    <row r="11" spans="1:12" x14ac:dyDescent="0.35">
      <c r="A11" t="s">
        <v>14</v>
      </c>
      <c r="B11" t="s">
        <v>214</v>
      </c>
      <c r="C11" s="1">
        <v>43084</v>
      </c>
      <c r="D11" s="1">
        <v>43087</v>
      </c>
      <c r="E11">
        <v>55</v>
      </c>
      <c r="F11">
        <f t="shared" si="2"/>
        <v>3</v>
      </c>
      <c r="G11">
        <v>522</v>
      </c>
      <c r="H11" s="2">
        <f t="shared" si="3"/>
        <v>0.1053639846743295</v>
      </c>
      <c r="I11">
        <v>2</v>
      </c>
      <c r="J11" t="s">
        <v>176</v>
      </c>
    </row>
    <row r="12" spans="1:12" x14ac:dyDescent="0.35">
      <c r="A12" t="s">
        <v>15</v>
      </c>
      <c r="B12" t="s">
        <v>214</v>
      </c>
      <c r="C12" s="1">
        <v>43084</v>
      </c>
      <c r="D12" s="1">
        <v>43087</v>
      </c>
      <c r="E12">
        <v>55</v>
      </c>
      <c r="F12">
        <f t="shared" si="2"/>
        <v>3</v>
      </c>
      <c r="G12">
        <v>522</v>
      </c>
      <c r="H12" s="2">
        <f t="shared" si="3"/>
        <v>0.1053639846743295</v>
      </c>
      <c r="I12">
        <v>3</v>
      </c>
      <c r="J12" t="s">
        <v>176</v>
      </c>
    </row>
    <row r="13" spans="1:12" x14ac:dyDescent="0.35">
      <c r="A13" t="s">
        <v>16</v>
      </c>
      <c r="B13" t="s">
        <v>214</v>
      </c>
      <c r="C13" s="1">
        <v>43084</v>
      </c>
      <c r="D13" s="1">
        <v>43087</v>
      </c>
      <c r="E13">
        <v>52</v>
      </c>
      <c r="F13">
        <f t="shared" si="2"/>
        <v>3</v>
      </c>
      <c r="G13">
        <v>522</v>
      </c>
      <c r="H13" s="2">
        <f t="shared" si="3"/>
        <v>9.9616858237547887E-2</v>
      </c>
      <c r="I13">
        <v>3</v>
      </c>
      <c r="J13" t="s">
        <v>176</v>
      </c>
    </row>
    <row r="14" spans="1:12" x14ac:dyDescent="0.35">
      <c r="A14" t="s">
        <v>17</v>
      </c>
      <c r="B14" t="s">
        <v>214</v>
      </c>
      <c r="C14" s="1">
        <v>43084</v>
      </c>
      <c r="D14" s="1">
        <v>43087</v>
      </c>
      <c r="E14">
        <v>51</v>
      </c>
      <c r="F14">
        <f t="shared" si="2"/>
        <v>3</v>
      </c>
      <c r="G14">
        <v>522</v>
      </c>
      <c r="H14" s="2">
        <f t="shared" si="3"/>
        <v>9.7701149425287362E-2</v>
      </c>
      <c r="I14">
        <v>4</v>
      </c>
      <c r="J14" t="s">
        <v>176</v>
      </c>
    </row>
    <row r="15" spans="1:12" x14ac:dyDescent="0.35">
      <c r="A15" t="s">
        <v>18</v>
      </c>
      <c r="B15" t="s">
        <v>214</v>
      </c>
      <c r="C15" s="1">
        <v>43084</v>
      </c>
      <c r="D15" s="1">
        <v>43087</v>
      </c>
      <c r="E15">
        <v>59</v>
      </c>
      <c r="F15">
        <f t="shared" si="2"/>
        <v>3</v>
      </c>
      <c r="G15">
        <v>522</v>
      </c>
      <c r="H15" s="2">
        <f t="shared" si="3"/>
        <v>0.11302681992337164</v>
      </c>
      <c r="I15">
        <v>10</v>
      </c>
      <c r="J15" t="s">
        <v>176</v>
      </c>
    </row>
    <row r="16" spans="1:12" x14ac:dyDescent="0.35">
      <c r="A16" t="s">
        <v>19</v>
      </c>
      <c r="B16" t="s">
        <v>215</v>
      </c>
      <c r="C16" s="1">
        <v>43106</v>
      </c>
      <c r="D16" s="1">
        <v>43106</v>
      </c>
      <c r="E16">
        <v>287</v>
      </c>
      <c r="F16">
        <f t="shared" si="2"/>
        <v>0</v>
      </c>
      <c r="G16">
        <v>541</v>
      </c>
      <c r="H16" s="2">
        <f t="shared" si="3"/>
        <v>0.53049907578558231</v>
      </c>
      <c r="I16">
        <v>92</v>
      </c>
      <c r="J16" t="s">
        <v>177</v>
      </c>
    </row>
    <row r="17" spans="1:10" x14ac:dyDescent="0.35">
      <c r="A17" t="s">
        <v>20</v>
      </c>
      <c r="B17" t="s">
        <v>214</v>
      </c>
      <c r="C17" s="1">
        <v>43106</v>
      </c>
      <c r="D17" s="1">
        <v>43106</v>
      </c>
      <c r="E17">
        <v>205</v>
      </c>
      <c r="F17">
        <f t="shared" si="2"/>
        <v>0</v>
      </c>
      <c r="G17">
        <v>541</v>
      </c>
      <c r="H17" s="2">
        <f t="shared" si="3"/>
        <v>0.37892791127541592</v>
      </c>
      <c r="I17">
        <v>102</v>
      </c>
      <c r="J17" t="s">
        <v>2</v>
      </c>
    </row>
    <row r="18" spans="1:10" x14ac:dyDescent="0.35">
      <c r="A18" t="s">
        <v>21</v>
      </c>
      <c r="B18" t="s">
        <v>214</v>
      </c>
      <c r="C18" s="1">
        <v>43106</v>
      </c>
      <c r="D18" s="1">
        <v>43108</v>
      </c>
      <c r="E18">
        <v>236</v>
      </c>
      <c r="F18">
        <f t="shared" si="2"/>
        <v>2</v>
      </c>
      <c r="G18">
        <v>541</v>
      </c>
      <c r="H18" s="2">
        <f t="shared" si="3"/>
        <v>0.43622920517560076</v>
      </c>
      <c r="I18">
        <v>39</v>
      </c>
      <c r="J18" t="s">
        <v>2</v>
      </c>
    </row>
    <row r="19" spans="1:10" x14ac:dyDescent="0.35">
      <c r="A19" t="s">
        <v>23</v>
      </c>
      <c r="B19" t="s">
        <v>215</v>
      </c>
      <c r="C19" s="1">
        <v>43119</v>
      </c>
      <c r="D19" s="1">
        <v>43122</v>
      </c>
      <c r="E19">
        <v>184</v>
      </c>
      <c r="F19">
        <f t="shared" si="2"/>
        <v>3</v>
      </c>
      <c r="G19">
        <v>548</v>
      </c>
      <c r="H19" s="2">
        <f t="shared" si="3"/>
        <v>0.33576642335766421</v>
      </c>
      <c r="I19">
        <v>59</v>
      </c>
      <c r="J19" t="s">
        <v>177</v>
      </c>
    </row>
    <row r="20" spans="1:10" x14ac:dyDescent="0.35">
      <c r="A20" t="s">
        <v>22</v>
      </c>
      <c r="B20" t="s">
        <v>215</v>
      </c>
      <c r="C20" s="1">
        <v>43119</v>
      </c>
      <c r="D20" s="1">
        <v>43122</v>
      </c>
      <c r="E20">
        <v>159</v>
      </c>
      <c r="F20">
        <f t="shared" si="2"/>
        <v>3</v>
      </c>
      <c r="G20">
        <v>548</v>
      </c>
      <c r="H20" s="2">
        <f t="shared" si="3"/>
        <v>0.29014598540145986</v>
      </c>
      <c r="I20">
        <v>60</v>
      </c>
      <c r="J20" t="s">
        <v>178</v>
      </c>
    </row>
    <row r="21" spans="1:10" x14ac:dyDescent="0.35">
      <c r="A21" t="s">
        <v>25</v>
      </c>
      <c r="B21" t="s">
        <v>215</v>
      </c>
      <c r="C21" s="1">
        <v>43133</v>
      </c>
      <c r="D21" s="1">
        <v>43136</v>
      </c>
      <c r="E21">
        <v>210</v>
      </c>
      <c r="F21">
        <f t="shared" si="2"/>
        <v>3</v>
      </c>
      <c r="G21">
        <v>560</v>
      </c>
      <c r="H21" s="2">
        <f t="shared" si="3"/>
        <v>0.375</v>
      </c>
      <c r="I21">
        <v>291</v>
      </c>
      <c r="J21" t="s">
        <v>177</v>
      </c>
    </row>
    <row r="22" spans="1:10" x14ac:dyDescent="0.35">
      <c r="A22" t="s">
        <v>24</v>
      </c>
      <c r="B22" t="s">
        <v>214</v>
      </c>
      <c r="C22" s="1">
        <v>43133</v>
      </c>
      <c r="D22" s="1">
        <v>43136</v>
      </c>
      <c r="E22">
        <v>188</v>
      </c>
      <c r="F22">
        <f t="shared" si="2"/>
        <v>3</v>
      </c>
      <c r="G22">
        <v>560</v>
      </c>
      <c r="H22" s="2">
        <f t="shared" si="3"/>
        <v>0.33571428571428569</v>
      </c>
      <c r="I22">
        <v>56</v>
      </c>
      <c r="J22" t="s">
        <v>2</v>
      </c>
    </row>
    <row r="23" spans="1:10" x14ac:dyDescent="0.35">
      <c r="A23" t="s">
        <v>26</v>
      </c>
      <c r="B23" t="s">
        <v>215</v>
      </c>
      <c r="C23" s="1">
        <v>43140</v>
      </c>
      <c r="D23" s="1">
        <v>43143</v>
      </c>
      <c r="E23">
        <v>165</v>
      </c>
      <c r="F23">
        <f t="shared" si="2"/>
        <v>3</v>
      </c>
      <c r="G23">
        <v>568</v>
      </c>
      <c r="H23" s="2">
        <f t="shared" si="3"/>
        <v>0.29049295774647887</v>
      </c>
      <c r="I23">
        <v>79</v>
      </c>
      <c r="J23" t="s">
        <v>177</v>
      </c>
    </row>
    <row r="24" spans="1:10" x14ac:dyDescent="0.35">
      <c r="A24" t="s">
        <v>27</v>
      </c>
      <c r="B24" t="s">
        <v>214</v>
      </c>
      <c r="C24" s="1">
        <v>43189</v>
      </c>
      <c r="D24" s="1">
        <v>43193</v>
      </c>
      <c r="E24">
        <v>109</v>
      </c>
      <c r="F24">
        <f t="shared" si="2"/>
        <v>4</v>
      </c>
      <c r="G24">
        <v>638</v>
      </c>
      <c r="H24" s="2">
        <f t="shared" si="3"/>
        <v>0.17084639498432602</v>
      </c>
      <c r="I24">
        <v>30</v>
      </c>
      <c r="J24" t="s">
        <v>2</v>
      </c>
    </row>
    <row r="25" spans="1:10" x14ac:dyDescent="0.35">
      <c r="A25" t="s">
        <v>28</v>
      </c>
      <c r="B25" t="s">
        <v>215</v>
      </c>
      <c r="C25" s="1">
        <v>43196</v>
      </c>
      <c r="D25" s="1">
        <v>43199</v>
      </c>
      <c r="E25">
        <v>173</v>
      </c>
      <c r="F25">
        <f t="shared" si="2"/>
        <v>3</v>
      </c>
      <c r="G25">
        <v>654</v>
      </c>
      <c r="H25" s="2">
        <f t="shared" si="3"/>
        <v>0.26452599388379205</v>
      </c>
      <c r="I25">
        <v>22</v>
      </c>
      <c r="J25" t="s">
        <v>178</v>
      </c>
    </row>
    <row r="26" spans="1:10" x14ac:dyDescent="0.35">
      <c r="A26" t="s">
        <v>29</v>
      </c>
      <c r="B26" t="s">
        <v>214</v>
      </c>
      <c r="C26" s="1">
        <v>43224</v>
      </c>
      <c r="D26" s="1">
        <v>43227</v>
      </c>
      <c r="E26">
        <v>224</v>
      </c>
      <c r="F26">
        <f t="shared" si="2"/>
        <v>3</v>
      </c>
      <c r="G26">
        <v>683</v>
      </c>
      <c r="H26" s="2">
        <f t="shared" si="3"/>
        <v>0.32796486090775989</v>
      </c>
      <c r="I26">
        <v>84</v>
      </c>
      <c r="J26" s="8" t="s">
        <v>176</v>
      </c>
    </row>
    <row r="27" spans="1:10" x14ac:dyDescent="0.35">
      <c r="A27" t="s">
        <v>30</v>
      </c>
      <c r="B27" t="s">
        <v>215</v>
      </c>
      <c r="C27" s="1">
        <v>43231</v>
      </c>
      <c r="D27" s="1">
        <v>43234</v>
      </c>
      <c r="E27">
        <v>198</v>
      </c>
      <c r="F27">
        <f t="shared" si="2"/>
        <v>3</v>
      </c>
      <c r="G27">
        <v>689</v>
      </c>
      <c r="H27" s="2">
        <f t="shared" si="3"/>
        <v>0.28737300435413643</v>
      </c>
      <c r="I27">
        <v>16</v>
      </c>
      <c r="J27" s="8" t="s">
        <v>177</v>
      </c>
    </row>
    <row r="28" spans="1:10" x14ac:dyDescent="0.35">
      <c r="A28" t="s">
        <v>31</v>
      </c>
      <c r="B28" t="s">
        <v>215</v>
      </c>
      <c r="C28" s="1">
        <v>43231</v>
      </c>
      <c r="D28" s="1">
        <v>43234</v>
      </c>
      <c r="E28">
        <v>193</v>
      </c>
      <c r="F28">
        <f t="shared" si="2"/>
        <v>3</v>
      </c>
      <c r="G28">
        <v>689</v>
      </c>
      <c r="H28" s="2">
        <f t="shared" si="3"/>
        <v>0.28011611030478956</v>
      </c>
      <c r="I28">
        <v>13</v>
      </c>
      <c r="J28" s="8" t="s">
        <v>177</v>
      </c>
    </row>
    <row r="29" spans="1:10" x14ac:dyDescent="0.35">
      <c r="A29" t="s">
        <v>32</v>
      </c>
      <c r="B29" t="s">
        <v>215</v>
      </c>
      <c r="C29" s="1">
        <v>43245</v>
      </c>
      <c r="D29" s="1">
        <v>43248</v>
      </c>
      <c r="E29">
        <v>204</v>
      </c>
      <c r="F29">
        <f t="shared" si="2"/>
        <v>3</v>
      </c>
      <c r="G29">
        <v>722</v>
      </c>
      <c r="H29" s="2">
        <f t="shared" si="3"/>
        <v>0.28254847645429365</v>
      </c>
      <c r="I29">
        <v>7</v>
      </c>
      <c r="J29" s="8" t="s">
        <v>177</v>
      </c>
    </row>
    <row r="30" spans="1:10" x14ac:dyDescent="0.35">
      <c r="A30" t="s">
        <v>33</v>
      </c>
      <c r="B30" t="s">
        <v>215</v>
      </c>
      <c r="C30" s="1">
        <v>43273</v>
      </c>
      <c r="D30" s="1">
        <v>43276</v>
      </c>
      <c r="E30">
        <v>198</v>
      </c>
      <c r="F30">
        <f t="shared" si="2"/>
        <v>3</v>
      </c>
      <c r="G30">
        <v>747</v>
      </c>
      <c r="H30" s="2">
        <f t="shared" si="3"/>
        <v>0.26506024096385544</v>
      </c>
      <c r="I30">
        <v>57</v>
      </c>
      <c r="J30" s="8" t="s">
        <v>177</v>
      </c>
    </row>
    <row r="31" spans="1:10" x14ac:dyDescent="0.35">
      <c r="A31" t="s">
        <v>34</v>
      </c>
      <c r="B31" t="s">
        <v>214</v>
      </c>
      <c r="C31" s="1">
        <v>43273</v>
      </c>
      <c r="D31" s="1">
        <v>43276</v>
      </c>
      <c r="E31">
        <v>157</v>
      </c>
      <c r="F31">
        <f t="shared" si="2"/>
        <v>3</v>
      </c>
      <c r="G31">
        <v>747</v>
      </c>
      <c r="H31" s="2">
        <f t="shared" si="3"/>
        <v>0.21017402945113789</v>
      </c>
      <c r="I31">
        <v>20</v>
      </c>
      <c r="J31" s="8" t="s">
        <v>2</v>
      </c>
    </row>
    <row r="32" spans="1:10" x14ac:dyDescent="0.35">
      <c r="A32" t="s">
        <v>35</v>
      </c>
      <c r="B32" t="s">
        <v>214</v>
      </c>
      <c r="C32" s="1">
        <v>43280</v>
      </c>
      <c r="D32" s="1">
        <v>43283</v>
      </c>
      <c r="E32">
        <v>209</v>
      </c>
      <c r="F32">
        <f t="shared" si="2"/>
        <v>3</v>
      </c>
      <c r="G32">
        <v>751</v>
      </c>
      <c r="H32" s="2">
        <f t="shared" si="3"/>
        <v>0.27829560585885488</v>
      </c>
      <c r="I32">
        <v>146</v>
      </c>
      <c r="J32" s="8" t="s">
        <v>2</v>
      </c>
    </row>
    <row r="33" spans="1:10" x14ac:dyDescent="0.35">
      <c r="A33" t="s">
        <v>12</v>
      </c>
      <c r="B33" t="s">
        <v>215</v>
      </c>
      <c r="C33" s="1">
        <v>43287</v>
      </c>
      <c r="D33" s="1">
        <v>43292</v>
      </c>
      <c r="E33">
        <v>174</v>
      </c>
      <c r="F33">
        <f t="shared" si="2"/>
        <v>5</v>
      </c>
      <c r="G33">
        <v>761</v>
      </c>
      <c r="H33" s="2">
        <f t="shared" si="3"/>
        <v>0.22864651773981604</v>
      </c>
      <c r="I33">
        <v>19</v>
      </c>
      <c r="J33" s="8" t="s">
        <v>177</v>
      </c>
    </row>
    <row r="34" spans="1:10" x14ac:dyDescent="0.35">
      <c r="A34" t="s">
        <v>36</v>
      </c>
      <c r="B34" t="s">
        <v>214</v>
      </c>
      <c r="C34" s="1">
        <v>43343</v>
      </c>
      <c r="D34" s="1">
        <v>43346</v>
      </c>
      <c r="E34">
        <v>281</v>
      </c>
      <c r="F34">
        <f t="shared" si="2"/>
        <v>3</v>
      </c>
      <c r="G34">
        <v>825</v>
      </c>
      <c r="H34" s="2">
        <f t="shared" si="3"/>
        <v>0.34060606060606058</v>
      </c>
      <c r="I34">
        <v>110</v>
      </c>
      <c r="J34" s="8" t="s">
        <v>2</v>
      </c>
    </row>
    <row r="35" spans="1:10" x14ac:dyDescent="0.35">
      <c r="A35" t="s">
        <v>37</v>
      </c>
      <c r="B35" t="s">
        <v>214</v>
      </c>
      <c r="C35" s="1">
        <v>43357</v>
      </c>
      <c r="D35" s="1">
        <v>43360</v>
      </c>
      <c r="E35">
        <v>291</v>
      </c>
      <c r="F35">
        <f t="shared" ref="F35:F66" si="4">_xlfn.DAYS(D35,C35)</f>
        <v>3</v>
      </c>
      <c r="G35">
        <v>831</v>
      </c>
      <c r="H35" s="2">
        <f t="shared" si="3"/>
        <v>0.35018050541516244</v>
      </c>
      <c r="I35">
        <v>45</v>
      </c>
      <c r="J35" s="8" t="s">
        <v>2</v>
      </c>
    </row>
    <row r="36" spans="1:10" x14ac:dyDescent="0.35">
      <c r="A36" t="s">
        <v>38</v>
      </c>
      <c r="B36" t="s">
        <v>214</v>
      </c>
      <c r="C36" s="1">
        <v>43357</v>
      </c>
      <c r="D36" s="1">
        <v>43360</v>
      </c>
      <c r="E36">
        <v>251</v>
      </c>
      <c r="F36">
        <f t="shared" si="4"/>
        <v>3</v>
      </c>
      <c r="G36">
        <v>831</v>
      </c>
      <c r="H36" s="2">
        <f t="shared" si="3"/>
        <v>0.30204572803850782</v>
      </c>
      <c r="I36">
        <v>21</v>
      </c>
      <c r="J36" s="8" t="s">
        <v>176</v>
      </c>
    </row>
    <row r="37" spans="1:10" x14ac:dyDescent="0.35">
      <c r="A37" t="s">
        <v>39</v>
      </c>
      <c r="B37" t="s">
        <v>214</v>
      </c>
      <c r="C37" s="1">
        <v>43371</v>
      </c>
      <c r="D37" s="1">
        <v>43375</v>
      </c>
      <c r="E37">
        <v>142</v>
      </c>
      <c r="F37">
        <f t="shared" si="4"/>
        <v>4</v>
      </c>
      <c r="G37">
        <v>829</v>
      </c>
      <c r="H37" s="2">
        <f t="shared" si="3"/>
        <v>0.17129071170084439</v>
      </c>
      <c r="I37">
        <v>148</v>
      </c>
      <c r="J37" s="8" t="s">
        <v>176</v>
      </c>
    </row>
    <row r="38" spans="1:10" x14ac:dyDescent="0.35">
      <c r="A38" t="s">
        <v>50</v>
      </c>
      <c r="B38" t="s">
        <v>214</v>
      </c>
      <c r="C38" s="1">
        <v>43399</v>
      </c>
      <c r="D38" s="1">
        <v>43402</v>
      </c>
      <c r="E38">
        <v>229</v>
      </c>
      <c r="F38">
        <f t="shared" si="4"/>
        <v>3</v>
      </c>
      <c r="G38">
        <v>848</v>
      </c>
      <c r="H38" s="2">
        <f t="shared" si="3"/>
        <v>0.27004716981132076</v>
      </c>
      <c r="I38">
        <v>152</v>
      </c>
      <c r="J38" s="8" t="s">
        <v>2</v>
      </c>
    </row>
    <row r="39" spans="1:10" x14ac:dyDescent="0.35">
      <c r="A39" t="s">
        <v>40</v>
      </c>
      <c r="B39" t="s">
        <v>214</v>
      </c>
      <c r="C39" s="1">
        <v>43427</v>
      </c>
      <c r="D39" s="1">
        <v>43431</v>
      </c>
      <c r="E39">
        <v>158</v>
      </c>
      <c r="F39">
        <f t="shared" si="4"/>
        <v>4</v>
      </c>
      <c r="G39">
        <v>853</v>
      </c>
      <c r="H39" s="2">
        <f t="shared" si="3"/>
        <v>0.18522860492379836</v>
      </c>
      <c r="I39">
        <v>10</v>
      </c>
      <c r="J39" s="8" t="s">
        <v>2</v>
      </c>
    </row>
    <row r="40" spans="1:10" x14ac:dyDescent="0.35">
      <c r="A40" t="s">
        <v>41</v>
      </c>
      <c r="B40" t="s">
        <v>214</v>
      </c>
      <c r="C40" s="1">
        <v>43484</v>
      </c>
      <c r="D40" s="1">
        <v>43485</v>
      </c>
      <c r="E40">
        <v>309</v>
      </c>
      <c r="F40">
        <f t="shared" si="4"/>
        <v>1</v>
      </c>
      <c r="G40">
        <v>892</v>
      </c>
      <c r="H40" s="2">
        <f t="shared" si="3"/>
        <v>0.34641255605381166</v>
      </c>
      <c r="I40">
        <v>15</v>
      </c>
      <c r="J40" s="8" t="s">
        <v>2</v>
      </c>
    </row>
    <row r="41" spans="1:10" x14ac:dyDescent="0.35">
      <c r="A41" t="s">
        <v>42</v>
      </c>
      <c r="B41" t="s">
        <v>214</v>
      </c>
      <c r="C41" s="1">
        <v>43484</v>
      </c>
      <c r="D41" s="1">
        <v>43485</v>
      </c>
      <c r="E41">
        <v>239</v>
      </c>
      <c r="F41">
        <f t="shared" si="4"/>
        <v>1</v>
      </c>
      <c r="G41">
        <v>892</v>
      </c>
      <c r="H41" s="2">
        <f t="shared" si="3"/>
        <v>0.2679372197309417</v>
      </c>
      <c r="I41">
        <v>28</v>
      </c>
      <c r="J41" s="8" t="s">
        <v>2</v>
      </c>
    </row>
    <row r="42" spans="1:10" x14ac:dyDescent="0.35">
      <c r="A42" t="s">
        <v>43</v>
      </c>
      <c r="B42" t="s">
        <v>215</v>
      </c>
      <c r="C42" s="1">
        <v>43490</v>
      </c>
      <c r="D42" s="1">
        <v>43494</v>
      </c>
      <c r="E42">
        <v>500</v>
      </c>
      <c r="F42">
        <f t="shared" si="4"/>
        <v>4</v>
      </c>
      <c r="G42">
        <v>895</v>
      </c>
      <c r="H42" s="2">
        <f t="shared" si="3"/>
        <v>0.55865921787709494</v>
      </c>
      <c r="I42">
        <v>516</v>
      </c>
      <c r="J42" s="8" t="s">
        <v>178</v>
      </c>
    </row>
    <row r="43" spans="1:10" x14ac:dyDescent="0.35">
      <c r="A43" t="s">
        <v>47</v>
      </c>
      <c r="B43" t="s">
        <v>215</v>
      </c>
      <c r="C43" s="1">
        <v>43525</v>
      </c>
      <c r="D43" s="1">
        <v>43529</v>
      </c>
      <c r="E43">
        <v>254</v>
      </c>
      <c r="F43">
        <f t="shared" si="4"/>
        <v>4</v>
      </c>
      <c r="G43">
        <v>917</v>
      </c>
      <c r="H43" s="2">
        <f t="shared" si="3"/>
        <v>0.27699018538713194</v>
      </c>
      <c r="I43">
        <v>216</v>
      </c>
      <c r="J43" s="8" t="s">
        <v>176</v>
      </c>
    </row>
    <row r="44" spans="1:10" x14ac:dyDescent="0.35">
      <c r="A44" t="s">
        <v>48</v>
      </c>
      <c r="B44" t="s">
        <v>214</v>
      </c>
      <c r="C44" s="1">
        <v>43567</v>
      </c>
      <c r="D44" s="1">
        <v>43570</v>
      </c>
      <c r="E44">
        <v>170</v>
      </c>
      <c r="F44">
        <f t="shared" si="4"/>
        <v>3</v>
      </c>
      <c r="G44">
        <v>924</v>
      </c>
      <c r="H44" s="2">
        <f t="shared" si="3"/>
        <v>0.18398268398268397</v>
      </c>
      <c r="I44">
        <v>4</v>
      </c>
      <c r="J44" s="8" t="s">
        <v>176</v>
      </c>
    </row>
    <row r="45" spans="1:10" x14ac:dyDescent="0.35">
      <c r="A45" t="s">
        <v>44</v>
      </c>
      <c r="B45" t="s">
        <v>214</v>
      </c>
      <c r="C45" s="1">
        <v>43610</v>
      </c>
      <c r="D45" s="1">
        <v>43613</v>
      </c>
      <c r="E45">
        <v>232</v>
      </c>
      <c r="F45">
        <f t="shared" si="4"/>
        <v>3</v>
      </c>
      <c r="G45">
        <v>933</v>
      </c>
      <c r="H45" s="2">
        <f t="shared" si="3"/>
        <v>0.24866023579849947</v>
      </c>
      <c r="I45">
        <v>14</v>
      </c>
      <c r="J45" s="8" t="s">
        <v>176</v>
      </c>
    </row>
    <row r="46" spans="1:10" x14ac:dyDescent="0.35">
      <c r="A46" t="s">
        <v>45</v>
      </c>
      <c r="B46" t="s">
        <v>215</v>
      </c>
      <c r="C46" s="1">
        <v>43624</v>
      </c>
      <c r="D46" s="1">
        <v>43627</v>
      </c>
      <c r="E46">
        <v>212</v>
      </c>
      <c r="F46">
        <f t="shared" si="4"/>
        <v>3</v>
      </c>
      <c r="G46">
        <v>932</v>
      </c>
      <c r="H46" s="2">
        <f t="shared" si="3"/>
        <v>0.22746781115879827</v>
      </c>
      <c r="I46">
        <v>26</v>
      </c>
      <c r="J46" s="8" t="s">
        <v>177</v>
      </c>
    </row>
    <row r="47" spans="1:10" x14ac:dyDescent="0.35">
      <c r="A47" t="s">
        <v>46</v>
      </c>
      <c r="B47" t="s">
        <v>214</v>
      </c>
      <c r="C47" s="1">
        <v>43637</v>
      </c>
      <c r="D47" s="1">
        <v>43640</v>
      </c>
      <c r="E47">
        <v>266</v>
      </c>
      <c r="F47">
        <f t="shared" si="4"/>
        <v>3</v>
      </c>
      <c r="G47">
        <v>938</v>
      </c>
      <c r="H47" s="2">
        <f t="shared" si="3"/>
        <v>0.28358208955223879</v>
      </c>
      <c r="I47">
        <v>56</v>
      </c>
      <c r="J47" s="8" t="s">
        <v>178</v>
      </c>
    </row>
    <row r="48" spans="1:10" x14ac:dyDescent="0.35">
      <c r="A48" t="s">
        <v>49</v>
      </c>
      <c r="B48" t="s">
        <v>215</v>
      </c>
      <c r="C48" s="1">
        <v>43707</v>
      </c>
      <c r="D48" s="1">
        <v>43710</v>
      </c>
      <c r="E48">
        <v>302</v>
      </c>
      <c r="F48">
        <f t="shared" si="4"/>
        <v>3</v>
      </c>
      <c r="G48">
        <v>972</v>
      </c>
      <c r="H48" s="2">
        <f t="shared" si="3"/>
        <v>0.31069958847736623</v>
      </c>
      <c r="I48">
        <v>55</v>
      </c>
      <c r="J48" s="8" t="s">
        <v>177</v>
      </c>
    </row>
    <row r="49" spans="1:10" x14ac:dyDescent="0.35">
      <c r="A49" t="s">
        <v>51</v>
      </c>
      <c r="B49" t="s">
        <v>214</v>
      </c>
      <c r="C49" s="1">
        <v>43728</v>
      </c>
      <c r="D49" s="1">
        <v>43732</v>
      </c>
      <c r="E49">
        <v>236</v>
      </c>
      <c r="F49">
        <f t="shared" si="4"/>
        <v>4</v>
      </c>
      <c r="G49">
        <v>978</v>
      </c>
      <c r="H49" s="2">
        <f t="shared" si="3"/>
        <v>0.24130879345603273</v>
      </c>
      <c r="I49">
        <v>46</v>
      </c>
      <c r="J49" s="8" t="s">
        <v>178</v>
      </c>
    </row>
    <row r="50" spans="1:10" x14ac:dyDescent="0.35">
      <c r="A50" t="s">
        <v>52</v>
      </c>
      <c r="B50" t="s">
        <v>214</v>
      </c>
      <c r="C50" s="1">
        <v>43749</v>
      </c>
      <c r="D50" s="1">
        <v>43754</v>
      </c>
      <c r="E50">
        <v>271</v>
      </c>
      <c r="F50">
        <f t="shared" si="4"/>
        <v>5</v>
      </c>
      <c r="G50">
        <v>998</v>
      </c>
      <c r="H50" s="2">
        <f t="shared" si="3"/>
        <v>0.27154308617234468</v>
      </c>
      <c r="I50">
        <v>37</v>
      </c>
      <c r="J50" s="8" t="s">
        <v>2</v>
      </c>
    </row>
    <row r="51" spans="1:10" x14ac:dyDescent="0.35">
      <c r="A51" t="s">
        <v>33</v>
      </c>
      <c r="B51" t="s">
        <v>215</v>
      </c>
      <c r="C51" s="1">
        <v>43756</v>
      </c>
      <c r="D51" s="1">
        <v>43759</v>
      </c>
      <c r="E51">
        <v>277</v>
      </c>
      <c r="F51">
        <f t="shared" si="4"/>
        <v>3</v>
      </c>
      <c r="G51">
        <v>1001</v>
      </c>
      <c r="H51" s="2">
        <f t="shared" si="3"/>
        <v>0.27672327672327673</v>
      </c>
      <c r="I51">
        <v>127</v>
      </c>
      <c r="J51" s="8" t="s">
        <v>177</v>
      </c>
    </row>
    <row r="52" spans="1:10" x14ac:dyDescent="0.35">
      <c r="A52" t="s">
        <v>54</v>
      </c>
      <c r="B52" t="s">
        <v>214</v>
      </c>
      <c r="C52" s="1">
        <v>43763</v>
      </c>
      <c r="D52" s="1">
        <v>43767</v>
      </c>
      <c r="E52">
        <v>247</v>
      </c>
      <c r="F52">
        <f t="shared" si="4"/>
        <v>4</v>
      </c>
      <c r="G52">
        <v>1003</v>
      </c>
      <c r="H52" s="2">
        <f t="shared" si="3"/>
        <v>0.24626121635094717</v>
      </c>
      <c r="I52">
        <v>73</v>
      </c>
      <c r="J52" s="8" t="s">
        <v>176</v>
      </c>
    </row>
    <row r="53" spans="1:10" x14ac:dyDescent="0.35">
      <c r="A53" t="s">
        <v>53</v>
      </c>
      <c r="B53" t="s">
        <v>214</v>
      </c>
      <c r="C53" s="1">
        <v>43770</v>
      </c>
      <c r="D53" s="1">
        <v>43773</v>
      </c>
      <c r="E53">
        <v>770</v>
      </c>
      <c r="F53">
        <f t="shared" si="4"/>
        <v>3</v>
      </c>
      <c r="G53">
        <v>1008</v>
      </c>
      <c r="H53" s="2">
        <f t="shared" si="3"/>
        <v>0.76388888888888884</v>
      </c>
      <c r="I53">
        <v>531</v>
      </c>
      <c r="J53" s="8" t="s">
        <v>2</v>
      </c>
    </row>
    <row r="54" spans="1:10" x14ac:dyDescent="0.35">
      <c r="A54" t="s">
        <v>179</v>
      </c>
      <c r="B54" t="s">
        <v>215</v>
      </c>
      <c r="C54" s="1">
        <v>43798</v>
      </c>
      <c r="D54" s="1">
        <v>43801</v>
      </c>
      <c r="E54">
        <v>536</v>
      </c>
      <c r="F54">
        <f t="shared" si="4"/>
        <v>3</v>
      </c>
      <c r="G54">
        <v>1019</v>
      </c>
      <c r="H54" s="2">
        <f t="shared" si="3"/>
        <v>0.52600588812561333</v>
      </c>
      <c r="I54">
        <v>275</v>
      </c>
      <c r="J54" s="8" t="s">
        <v>177</v>
      </c>
    </row>
    <row r="55" spans="1:10" x14ac:dyDescent="0.35">
      <c r="A55" t="s">
        <v>180</v>
      </c>
      <c r="B55" t="s">
        <v>215</v>
      </c>
      <c r="C55" s="1">
        <v>43805</v>
      </c>
      <c r="D55" s="1">
        <v>43809</v>
      </c>
      <c r="E55">
        <v>450</v>
      </c>
      <c r="F55">
        <f t="shared" si="4"/>
        <v>4</v>
      </c>
      <c r="G55">
        <v>1019</v>
      </c>
      <c r="H55" s="2">
        <f t="shared" si="3"/>
        <v>0.44160942100098133</v>
      </c>
      <c r="I55">
        <v>254</v>
      </c>
      <c r="J55" s="8" t="s">
        <v>177</v>
      </c>
    </row>
    <row r="56" spans="1:10" x14ac:dyDescent="0.35">
      <c r="A56" t="s">
        <v>23</v>
      </c>
      <c r="B56" t="s">
        <v>215</v>
      </c>
      <c r="C56" s="5">
        <v>43840</v>
      </c>
      <c r="D56" s="1">
        <v>43841</v>
      </c>
      <c r="E56" s="4">
        <v>424</v>
      </c>
      <c r="F56">
        <f t="shared" si="4"/>
        <v>1</v>
      </c>
      <c r="G56" s="4">
        <v>1027</v>
      </c>
      <c r="H56" s="2">
        <f t="shared" si="3"/>
        <v>0.41285296981499514</v>
      </c>
      <c r="I56">
        <v>67</v>
      </c>
      <c r="J56" s="8" t="s">
        <v>177</v>
      </c>
    </row>
    <row r="57" spans="1:10" x14ac:dyDescent="0.35">
      <c r="A57" t="s">
        <v>56</v>
      </c>
      <c r="B57" t="s">
        <v>215</v>
      </c>
      <c r="C57" s="1">
        <v>43841</v>
      </c>
      <c r="D57" s="1">
        <v>43841</v>
      </c>
      <c r="E57" s="7">
        <v>653</v>
      </c>
      <c r="F57">
        <f t="shared" si="4"/>
        <v>0</v>
      </c>
      <c r="G57" s="7">
        <v>1030</v>
      </c>
      <c r="H57" s="2">
        <f t="shared" si="3"/>
        <v>0.63398058252427181</v>
      </c>
      <c r="I57">
        <v>165</v>
      </c>
      <c r="J57" s="8" t="s">
        <v>177</v>
      </c>
    </row>
    <row r="58" spans="1:10" x14ac:dyDescent="0.35">
      <c r="A58" t="s">
        <v>57</v>
      </c>
      <c r="B58" t="s">
        <v>215</v>
      </c>
      <c r="C58" s="1">
        <v>43841</v>
      </c>
      <c r="D58" s="1">
        <v>43841</v>
      </c>
      <c r="E58" s="4">
        <v>586</v>
      </c>
      <c r="F58">
        <f t="shared" si="4"/>
        <v>0</v>
      </c>
      <c r="G58" s="4">
        <v>1030</v>
      </c>
      <c r="H58" s="2">
        <f t="shared" si="3"/>
        <v>0.56893203883495147</v>
      </c>
      <c r="I58">
        <v>165</v>
      </c>
      <c r="J58" s="8" t="s">
        <v>177</v>
      </c>
    </row>
    <row r="59" spans="1:10" x14ac:dyDescent="0.35">
      <c r="A59" t="s">
        <v>58</v>
      </c>
      <c r="B59" t="s">
        <v>215</v>
      </c>
      <c r="C59" s="1">
        <v>43841</v>
      </c>
      <c r="D59" s="1">
        <v>43841</v>
      </c>
      <c r="E59" s="4">
        <v>564</v>
      </c>
      <c r="F59">
        <f t="shared" si="4"/>
        <v>0</v>
      </c>
      <c r="G59" s="7">
        <v>1030</v>
      </c>
      <c r="H59" s="2">
        <f t="shared" si="3"/>
        <v>0.54757281553398063</v>
      </c>
      <c r="I59">
        <v>165</v>
      </c>
      <c r="J59" s="8" t="s">
        <v>177</v>
      </c>
    </row>
    <row r="60" spans="1:10" x14ac:dyDescent="0.35">
      <c r="A60" t="s">
        <v>59</v>
      </c>
      <c r="B60" t="s">
        <v>215</v>
      </c>
      <c r="C60" s="1">
        <v>43841</v>
      </c>
      <c r="D60" s="1">
        <v>43841</v>
      </c>
      <c r="E60" s="4">
        <v>525</v>
      </c>
      <c r="F60">
        <f t="shared" si="4"/>
        <v>0</v>
      </c>
      <c r="G60" s="4">
        <v>1030</v>
      </c>
      <c r="H60" s="2">
        <f t="shared" si="3"/>
        <v>0.50970873786407767</v>
      </c>
      <c r="I60">
        <v>165</v>
      </c>
      <c r="J60" s="8" t="s">
        <v>177</v>
      </c>
    </row>
    <row r="61" spans="1:10" x14ac:dyDescent="0.35">
      <c r="A61" t="s">
        <v>60</v>
      </c>
      <c r="B61" t="s">
        <v>215</v>
      </c>
      <c r="C61" s="1">
        <v>43841</v>
      </c>
      <c r="D61" s="1">
        <v>43841</v>
      </c>
      <c r="E61" s="4">
        <v>527</v>
      </c>
      <c r="F61">
        <f t="shared" si="4"/>
        <v>0</v>
      </c>
      <c r="G61" s="7">
        <v>1030</v>
      </c>
      <c r="H61" s="2">
        <f t="shared" si="3"/>
        <v>0.51165048543689318</v>
      </c>
      <c r="I61">
        <v>165</v>
      </c>
      <c r="J61" s="8" t="s">
        <v>177</v>
      </c>
    </row>
    <row r="62" spans="1:10" x14ac:dyDescent="0.35">
      <c r="A62" t="s">
        <v>61</v>
      </c>
      <c r="B62" t="s">
        <v>215</v>
      </c>
      <c r="C62" s="1">
        <v>43841</v>
      </c>
      <c r="D62" s="1">
        <v>43841</v>
      </c>
      <c r="E62" s="4">
        <v>454</v>
      </c>
      <c r="F62">
        <f t="shared" si="4"/>
        <v>0</v>
      </c>
      <c r="G62" s="7">
        <v>1030</v>
      </c>
      <c r="H62" s="2">
        <f t="shared" si="3"/>
        <v>0.4407766990291262</v>
      </c>
      <c r="I62">
        <v>165</v>
      </c>
      <c r="J62" s="8" t="s">
        <v>177</v>
      </c>
    </row>
    <row r="63" spans="1:10" x14ac:dyDescent="0.35">
      <c r="A63" t="s">
        <v>55</v>
      </c>
      <c r="B63" t="s">
        <v>214</v>
      </c>
      <c r="C63" s="1">
        <v>43841</v>
      </c>
      <c r="D63" s="1">
        <v>43841</v>
      </c>
      <c r="E63" s="7">
        <v>431</v>
      </c>
      <c r="F63">
        <f t="shared" si="4"/>
        <v>0</v>
      </c>
      <c r="G63" s="7">
        <v>1030</v>
      </c>
      <c r="H63" s="2">
        <f t="shared" si="3"/>
        <v>0.4184466019417476</v>
      </c>
      <c r="I63">
        <v>27</v>
      </c>
      <c r="J63" s="8" t="s">
        <v>2</v>
      </c>
    </row>
    <row r="64" spans="1:10" x14ac:dyDescent="0.35">
      <c r="A64" t="s">
        <v>62</v>
      </c>
      <c r="B64" t="s">
        <v>215</v>
      </c>
      <c r="C64" s="5">
        <v>43861</v>
      </c>
      <c r="D64" s="1">
        <v>43864</v>
      </c>
      <c r="E64" s="4">
        <v>390</v>
      </c>
      <c r="F64">
        <f t="shared" si="4"/>
        <v>3</v>
      </c>
      <c r="G64" s="7">
        <v>1033</v>
      </c>
      <c r="H64" s="2">
        <f t="shared" si="3"/>
        <v>0.37754114230396901</v>
      </c>
      <c r="I64">
        <v>71</v>
      </c>
      <c r="J64" s="8" t="s">
        <v>177</v>
      </c>
    </row>
    <row r="65" spans="1:10" x14ac:dyDescent="0.35">
      <c r="A65" t="s">
        <v>63</v>
      </c>
      <c r="B65" t="s">
        <v>215</v>
      </c>
      <c r="C65" s="5">
        <v>43861</v>
      </c>
      <c r="D65" s="1">
        <v>43878</v>
      </c>
      <c r="E65" s="4">
        <v>449</v>
      </c>
      <c r="F65">
        <f t="shared" si="4"/>
        <v>17</v>
      </c>
      <c r="G65" s="7">
        <v>1032</v>
      </c>
      <c r="H65" s="2">
        <f t="shared" si="3"/>
        <v>0.43507751937984496</v>
      </c>
      <c r="I65">
        <v>119</v>
      </c>
      <c r="J65" s="8" t="s">
        <v>177</v>
      </c>
    </row>
    <row r="66" spans="1:10" x14ac:dyDescent="0.35">
      <c r="A66" t="s">
        <v>64</v>
      </c>
      <c r="B66" t="s">
        <v>214</v>
      </c>
      <c r="C66" s="5">
        <v>43875</v>
      </c>
      <c r="D66" s="1">
        <v>43878</v>
      </c>
      <c r="E66" s="4">
        <v>494</v>
      </c>
      <c r="F66">
        <f t="shared" si="4"/>
        <v>3</v>
      </c>
      <c r="G66" s="7">
        <v>1041</v>
      </c>
      <c r="H66" s="2">
        <f t="shared" si="3"/>
        <v>0.4745437079731028</v>
      </c>
      <c r="I66">
        <v>230</v>
      </c>
      <c r="J66" s="8" t="s">
        <v>2</v>
      </c>
    </row>
    <row r="67" spans="1:10" x14ac:dyDescent="0.35">
      <c r="A67" t="s">
        <v>65</v>
      </c>
      <c r="B67" t="s">
        <v>214</v>
      </c>
      <c r="C67" s="5">
        <v>43889</v>
      </c>
      <c r="D67" s="1">
        <v>43893</v>
      </c>
      <c r="E67" s="4">
        <v>278</v>
      </c>
      <c r="F67">
        <f t="shared" ref="F67:F98" si="5">_xlfn.DAYS(D67,C67)</f>
        <v>4</v>
      </c>
      <c r="G67" s="7">
        <v>1036</v>
      </c>
      <c r="H67" s="2">
        <f t="shared" ref="H67:H130" si="6">E67/G67</f>
        <v>0.26833976833976836</v>
      </c>
      <c r="I67">
        <v>48</v>
      </c>
      <c r="J67" s="8" t="s">
        <v>2</v>
      </c>
    </row>
    <row r="68" spans="1:10" x14ac:dyDescent="0.35">
      <c r="A68" t="s">
        <v>66</v>
      </c>
      <c r="B68" t="s">
        <v>214</v>
      </c>
      <c r="C68" s="5">
        <v>43889</v>
      </c>
      <c r="D68" s="1">
        <v>43892</v>
      </c>
      <c r="E68" s="4">
        <v>259</v>
      </c>
      <c r="F68">
        <f t="shared" si="5"/>
        <v>3</v>
      </c>
      <c r="G68" s="7">
        <v>1036</v>
      </c>
      <c r="H68" s="2">
        <f t="shared" si="6"/>
        <v>0.25</v>
      </c>
      <c r="I68">
        <v>5</v>
      </c>
      <c r="J68" t="s">
        <v>176</v>
      </c>
    </row>
    <row r="69" spans="1:10" x14ac:dyDescent="0.35">
      <c r="A69" t="s">
        <v>48</v>
      </c>
      <c r="B69" t="s">
        <v>214</v>
      </c>
      <c r="C69" s="5">
        <v>43945</v>
      </c>
      <c r="D69" s="1">
        <v>43949</v>
      </c>
      <c r="E69" s="4">
        <v>179</v>
      </c>
      <c r="F69">
        <f t="shared" si="5"/>
        <v>4</v>
      </c>
      <c r="G69" s="7">
        <v>1043</v>
      </c>
      <c r="H69" s="2">
        <f t="shared" si="6"/>
        <v>0.1716203259827421</v>
      </c>
      <c r="I69">
        <v>5</v>
      </c>
      <c r="J69" t="s">
        <v>176</v>
      </c>
    </row>
    <row r="70" spans="1:10" x14ac:dyDescent="0.35">
      <c r="A70" t="s">
        <v>67</v>
      </c>
      <c r="B70" t="s">
        <v>215</v>
      </c>
      <c r="C70" s="5">
        <v>43959</v>
      </c>
      <c r="D70" s="1">
        <v>43963</v>
      </c>
      <c r="E70" s="4">
        <v>430</v>
      </c>
      <c r="F70">
        <f t="shared" si="5"/>
        <v>4</v>
      </c>
      <c r="G70" s="7">
        <v>1038</v>
      </c>
      <c r="H70" s="2">
        <f t="shared" si="6"/>
        <v>0.41425818882466281</v>
      </c>
      <c r="I70">
        <v>199</v>
      </c>
      <c r="J70" t="s">
        <v>177</v>
      </c>
    </row>
    <row r="71" spans="1:10" x14ac:dyDescent="0.35">
      <c r="A71" t="s">
        <v>68</v>
      </c>
      <c r="B71" t="s">
        <v>215</v>
      </c>
      <c r="C71" s="5">
        <v>43966</v>
      </c>
      <c r="D71" s="1">
        <v>43969</v>
      </c>
      <c r="E71" s="4">
        <v>433</v>
      </c>
      <c r="F71">
        <f t="shared" si="5"/>
        <v>3</v>
      </c>
      <c r="G71" s="7">
        <v>1037</v>
      </c>
      <c r="H71" s="2">
        <f t="shared" si="6"/>
        <v>0.41755062680810029</v>
      </c>
      <c r="I71">
        <v>199</v>
      </c>
      <c r="J71" t="s">
        <v>177</v>
      </c>
    </row>
    <row r="72" spans="1:10" x14ac:dyDescent="0.35">
      <c r="A72" t="s">
        <v>69</v>
      </c>
      <c r="B72" t="s">
        <v>214</v>
      </c>
      <c r="C72" s="5">
        <v>43975</v>
      </c>
      <c r="D72" s="1">
        <v>43976</v>
      </c>
      <c r="E72" s="4">
        <v>291</v>
      </c>
      <c r="F72">
        <f t="shared" si="5"/>
        <v>1</v>
      </c>
      <c r="G72" s="7">
        <v>1043</v>
      </c>
      <c r="H72" s="2">
        <f t="shared" si="6"/>
        <v>0.27900287631831255</v>
      </c>
      <c r="I72">
        <v>7</v>
      </c>
      <c r="J72" t="s">
        <v>2</v>
      </c>
    </row>
    <row r="73" spans="1:10" x14ac:dyDescent="0.35">
      <c r="A73" t="s">
        <v>70</v>
      </c>
      <c r="B73" t="s">
        <v>214</v>
      </c>
      <c r="C73" s="5">
        <v>43994</v>
      </c>
      <c r="D73" s="1">
        <v>43998</v>
      </c>
      <c r="E73" s="4">
        <v>425</v>
      </c>
      <c r="F73">
        <f t="shared" si="5"/>
        <v>4</v>
      </c>
      <c r="G73" s="7">
        <v>1052</v>
      </c>
      <c r="H73" s="2">
        <f t="shared" si="6"/>
        <v>0.40399239543726234</v>
      </c>
      <c r="I73">
        <v>341</v>
      </c>
      <c r="J73" t="s">
        <v>2</v>
      </c>
    </row>
    <row r="74" spans="1:10" x14ac:dyDescent="0.35">
      <c r="A74" t="s">
        <v>71</v>
      </c>
      <c r="B74" t="s">
        <v>215</v>
      </c>
      <c r="C74" s="5">
        <v>44043</v>
      </c>
      <c r="D74" s="1">
        <v>44046</v>
      </c>
      <c r="E74" s="4">
        <v>347</v>
      </c>
      <c r="F74">
        <f t="shared" si="5"/>
        <v>3</v>
      </c>
      <c r="G74" s="7">
        <v>1049</v>
      </c>
      <c r="H74" s="2">
        <f t="shared" si="6"/>
        <v>0.33079122974261199</v>
      </c>
      <c r="I74">
        <v>63</v>
      </c>
      <c r="J74" t="s">
        <v>177</v>
      </c>
    </row>
    <row r="75" spans="1:10" x14ac:dyDescent="0.35">
      <c r="A75" t="s">
        <v>62</v>
      </c>
      <c r="B75" t="s">
        <v>215</v>
      </c>
      <c r="C75" s="5">
        <v>44043</v>
      </c>
      <c r="D75" s="1">
        <v>44046</v>
      </c>
      <c r="E75" s="4">
        <v>288</v>
      </c>
      <c r="F75">
        <f t="shared" si="5"/>
        <v>3</v>
      </c>
      <c r="G75" s="7">
        <v>1048</v>
      </c>
      <c r="H75" s="2">
        <f t="shared" si="6"/>
        <v>0.27480916030534353</v>
      </c>
      <c r="I75">
        <v>49</v>
      </c>
      <c r="J75" t="s">
        <v>177</v>
      </c>
    </row>
    <row r="76" spans="1:10" x14ac:dyDescent="0.35">
      <c r="A76" t="s">
        <v>72</v>
      </c>
      <c r="B76" t="s">
        <v>214</v>
      </c>
      <c r="C76" s="5">
        <v>44043</v>
      </c>
      <c r="D76" s="1">
        <v>44046</v>
      </c>
      <c r="E76" s="4">
        <v>362</v>
      </c>
      <c r="F76">
        <f t="shared" si="5"/>
        <v>3</v>
      </c>
      <c r="G76" s="7">
        <v>1050</v>
      </c>
      <c r="H76" s="2">
        <f t="shared" si="6"/>
        <v>0.34476190476190477</v>
      </c>
      <c r="I76">
        <v>41</v>
      </c>
      <c r="J76" t="s">
        <v>178</v>
      </c>
    </row>
    <row r="77" spans="1:10" x14ac:dyDescent="0.35">
      <c r="A77" t="s">
        <v>73</v>
      </c>
      <c r="B77" t="s">
        <v>214</v>
      </c>
      <c r="C77" s="5">
        <v>44057</v>
      </c>
      <c r="D77" s="1">
        <v>44061</v>
      </c>
      <c r="E77" s="4">
        <v>242</v>
      </c>
      <c r="F77">
        <f t="shared" si="5"/>
        <v>4</v>
      </c>
      <c r="G77" s="7">
        <v>1049</v>
      </c>
      <c r="H77" s="2">
        <f t="shared" si="6"/>
        <v>0.23069590085795996</v>
      </c>
      <c r="I77">
        <v>56</v>
      </c>
      <c r="J77" t="s">
        <v>176</v>
      </c>
    </row>
    <row r="78" spans="1:10" x14ac:dyDescent="0.35">
      <c r="A78" t="s">
        <v>74</v>
      </c>
      <c r="B78" t="s">
        <v>214</v>
      </c>
      <c r="C78" s="5">
        <v>44078</v>
      </c>
      <c r="D78" s="1">
        <v>44081</v>
      </c>
      <c r="E78" s="4">
        <v>300</v>
      </c>
      <c r="F78">
        <f t="shared" si="5"/>
        <v>3</v>
      </c>
      <c r="G78" s="7">
        <v>1045</v>
      </c>
      <c r="H78" s="2">
        <f t="shared" si="6"/>
        <v>0.28708133971291866</v>
      </c>
      <c r="I78">
        <v>67</v>
      </c>
      <c r="J78" t="s">
        <v>2</v>
      </c>
    </row>
    <row r="79" spans="1:10" x14ac:dyDescent="0.35">
      <c r="A79" t="s">
        <v>75</v>
      </c>
      <c r="B79" t="s">
        <v>215</v>
      </c>
      <c r="C79" s="5">
        <v>44120</v>
      </c>
      <c r="D79" s="1">
        <v>44124</v>
      </c>
      <c r="E79" s="4">
        <v>347</v>
      </c>
      <c r="F79">
        <f t="shared" si="5"/>
        <v>4</v>
      </c>
      <c r="G79" s="7">
        <v>1053</v>
      </c>
      <c r="H79" s="2">
        <f t="shared" si="6"/>
        <v>0.32953466286799621</v>
      </c>
      <c r="I79">
        <v>108</v>
      </c>
      <c r="J79" t="s">
        <v>178</v>
      </c>
    </row>
    <row r="80" spans="1:10" x14ac:dyDescent="0.35">
      <c r="A80" t="s">
        <v>76</v>
      </c>
      <c r="B80" t="s">
        <v>215</v>
      </c>
      <c r="C80" s="5">
        <v>44127</v>
      </c>
      <c r="D80" s="1">
        <v>44130</v>
      </c>
      <c r="E80" s="4">
        <v>370</v>
      </c>
      <c r="F80">
        <f t="shared" si="5"/>
        <v>3</v>
      </c>
      <c r="G80" s="7">
        <v>1061</v>
      </c>
      <c r="H80" s="2">
        <f t="shared" si="6"/>
        <v>0.34872761545711595</v>
      </c>
      <c r="I80">
        <v>108</v>
      </c>
      <c r="J80" t="s">
        <v>178</v>
      </c>
    </row>
    <row r="81" spans="1:10" x14ac:dyDescent="0.35">
      <c r="A81" t="s">
        <v>77</v>
      </c>
      <c r="B81" t="s">
        <v>214</v>
      </c>
      <c r="C81" s="5">
        <v>44134</v>
      </c>
      <c r="D81" s="1">
        <v>44135</v>
      </c>
      <c r="E81" s="4">
        <v>329</v>
      </c>
      <c r="F81">
        <f t="shared" si="5"/>
        <v>1</v>
      </c>
      <c r="G81" s="7">
        <v>1060</v>
      </c>
      <c r="H81" s="2">
        <f t="shared" si="6"/>
        <v>0.31037735849056602</v>
      </c>
      <c r="I81">
        <v>23</v>
      </c>
      <c r="J81" t="s">
        <v>2</v>
      </c>
    </row>
    <row r="82" spans="1:10" x14ac:dyDescent="0.35">
      <c r="A82" t="s">
        <v>78</v>
      </c>
      <c r="B82" t="s">
        <v>214</v>
      </c>
      <c r="C82" s="6">
        <v>44155</v>
      </c>
      <c r="D82" s="1">
        <v>44158</v>
      </c>
      <c r="E82" s="4">
        <v>858</v>
      </c>
      <c r="F82">
        <f t="shared" si="5"/>
        <v>3</v>
      </c>
      <c r="G82" s="7">
        <v>1079</v>
      </c>
      <c r="H82" s="2">
        <f t="shared" si="6"/>
        <v>0.79518072289156627</v>
      </c>
      <c r="I82">
        <v>278</v>
      </c>
      <c r="J82" t="s">
        <v>178</v>
      </c>
    </row>
    <row r="83" spans="1:10" x14ac:dyDescent="0.35">
      <c r="A83" t="s">
        <v>79</v>
      </c>
      <c r="B83" t="s">
        <v>215</v>
      </c>
      <c r="C83" s="5">
        <v>44162</v>
      </c>
      <c r="D83" s="1">
        <v>44165</v>
      </c>
      <c r="E83" s="4">
        <v>293</v>
      </c>
      <c r="F83">
        <f t="shared" si="5"/>
        <v>3</v>
      </c>
      <c r="G83" s="7">
        <v>1083</v>
      </c>
      <c r="H83" s="2">
        <f t="shared" si="6"/>
        <v>0.270544783010157</v>
      </c>
      <c r="I83">
        <v>9</v>
      </c>
      <c r="J83" t="s">
        <v>177</v>
      </c>
    </row>
    <row r="84" spans="1:10" x14ac:dyDescent="0.35">
      <c r="A84" t="s">
        <v>80</v>
      </c>
      <c r="B84" t="s">
        <v>215</v>
      </c>
      <c r="C84" s="5">
        <v>44162</v>
      </c>
      <c r="D84" s="1">
        <v>44166</v>
      </c>
      <c r="E84" s="4">
        <v>556</v>
      </c>
      <c r="F84">
        <f t="shared" si="5"/>
        <v>4</v>
      </c>
      <c r="G84" s="7">
        <v>1083</v>
      </c>
      <c r="H84" s="2">
        <f t="shared" si="6"/>
        <v>0.51338873499538318</v>
      </c>
      <c r="I84">
        <v>29</v>
      </c>
      <c r="J84" t="s">
        <v>177</v>
      </c>
    </row>
    <row r="85" spans="1:10" x14ac:dyDescent="0.35">
      <c r="A85" t="s">
        <v>81</v>
      </c>
      <c r="B85" t="s">
        <v>214</v>
      </c>
      <c r="C85" s="5">
        <v>44176</v>
      </c>
      <c r="D85" s="1">
        <v>44179</v>
      </c>
      <c r="E85" s="4">
        <v>292</v>
      </c>
      <c r="F85">
        <f t="shared" si="5"/>
        <v>3</v>
      </c>
      <c r="G85" s="7">
        <v>1089</v>
      </c>
      <c r="H85" s="2">
        <f t="shared" si="6"/>
        <v>0.26813590449954089</v>
      </c>
      <c r="I85">
        <v>8</v>
      </c>
      <c r="J85" t="s">
        <v>2</v>
      </c>
    </row>
    <row r="86" spans="1:10" x14ac:dyDescent="0.35">
      <c r="A86" t="s">
        <v>82</v>
      </c>
      <c r="B86" t="s">
        <v>214</v>
      </c>
      <c r="C86" s="5">
        <v>44183</v>
      </c>
      <c r="D86" s="1">
        <v>44187</v>
      </c>
      <c r="E86" s="4">
        <v>187</v>
      </c>
      <c r="F86">
        <f t="shared" si="5"/>
        <v>4</v>
      </c>
      <c r="G86" s="7">
        <v>1091</v>
      </c>
      <c r="H86" s="2">
        <f t="shared" si="6"/>
        <v>0.17140238313473877</v>
      </c>
      <c r="I86">
        <v>18</v>
      </c>
      <c r="J86" t="s">
        <v>178</v>
      </c>
    </row>
    <row r="87" spans="1:10" x14ac:dyDescent="0.35">
      <c r="A87" t="s">
        <v>83</v>
      </c>
      <c r="B87" t="s">
        <v>214</v>
      </c>
      <c r="C87" s="5">
        <v>44204</v>
      </c>
      <c r="D87" s="1">
        <v>44207</v>
      </c>
      <c r="E87" s="4">
        <v>415</v>
      </c>
      <c r="F87">
        <f t="shared" si="5"/>
        <v>3</v>
      </c>
      <c r="G87" s="7">
        <v>1106</v>
      </c>
      <c r="H87" s="2">
        <f t="shared" si="6"/>
        <v>0.37522603978300179</v>
      </c>
      <c r="I87">
        <v>62</v>
      </c>
      <c r="J87" t="s">
        <v>2</v>
      </c>
    </row>
    <row r="88" spans="1:10" x14ac:dyDescent="0.35">
      <c r="A88" t="s">
        <v>84</v>
      </c>
      <c r="B88" t="s">
        <v>214</v>
      </c>
      <c r="C88" s="5">
        <v>44204</v>
      </c>
      <c r="D88" s="1">
        <v>44208</v>
      </c>
      <c r="E88" s="4">
        <v>848</v>
      </c>
      <c r="F88">
        <f t="shared" si="5"/>
        <v>4</v>
      </c>
      <c r="G88" s="7">
        <v>1105</v>
      </c>
      <c r="H88" s="2">
        <f t="shared" si="6"/>
        <v>0.76742081447963806</v>
      </c>
      <c r="I88">
        <v>383</v>
      </c>
      <c r="J88" t="s">
        <v>178</v>
      </c>
    </row>
    <row r="89" spans="1:10" x14ac:dyDescent="0.35">
      <c r="A89" t="s">
        <v>85</v>
      </c>
      <c r="B89" t="s">
        <v>214</v>
      </c>
      <c r="C89" s="1">
        <v>44205</v>
      </c>
      <c r="D89" s="1">
        <v>44205</v>
      </c>
      <c r="E89" s="4">
        <v>376</v>
      </c>
      <c r="F89">
        <f t="shared" si="5"/>
        <v>0</v>
      </c>
      <c r="G89" s="7">
        <v>1100</v>
      </c>
      <c r="H89" s="2">
        <f t="shared" si="6"/>
        <v>0.3418181818181818</v>
      </c>
      <c r="I89">
        <v>35</v>
      </c>
      <c r="J89" t="s">
        <v>2</v>
      </c>
    </row>
    <row r="90" spans="1:10" x14ac:dyDescent="0.35">
      <c r="A90" t="s">
        <v>86</v>
      </c>
      <c r="B90" t="s">
        <v>214</v>
      </c>
      <c r="C90" s="1">
        <v>44205</v>
      </c>
      <c r="D90" s="1">
        <v>44205</v>
      </c>
      <c r="E90" s="4">
        <v>341</v>
      </c>
      <c r="F90">
        <f t="shared" si="5"/>
        <v>0</v>
      </c>
      <c r="G90" s="7">
        <v>1100</v>
      </c>
      <c r="H90" s="2">
        <f t="shared" si="6"/>
        <v>0.31</v>
      </c>
      <c r="I90">
        <v>35</v>
      </c>
      <c r="J90" t="s">
        <v>2</v>
      </c>
    </row>
    <row r="91" spans="1:10" x14ac:dyDescent="0.35">
      <c r="A91" t="s">
        <v>87</v>
      </c>
      <c r="B91" t="s">
        <v>214</v>
      </c>
      <c r="C91" s="1">
        <v>44205</v>
      </c>
      <c r="D91" s="1">
        <v>44205</v>
      </c>
      <c r="E91" s="4">
        <v>452</v>
      </c>
      <c r="F91">
        <f t="shared" si="5"/>
        <v>0</v>
      </c>
      <c r="G91" s="7">
        <v>1100</v>
      </c>
      <c r="H91" s="2">
        <f t="shared" si="6"/>
        <v>0.41090909090909089</v>
      </c>
      <c r="I91">
        <v>14</v>
      </c>
      <c r="J91" t="s">
        <v>2</v>
      </c>
    </row>
    <row r="92" spans="1:10" x14ac:dyDescent="0.35">
      <c r="A92" t="s">
        <v>88</v>
      </c>
      <c r="B92" t="s">
        <v>214</v>
      </c>
      <c r="C92" s="5">
        <v>44232</v>
      </c>
      <c r="D92" s="1">
        <v>44235</v>
      </c>
      <c r="E92" s="4">
        <v>297</v>
      </c>
      <c r="F92">
        <f t="shared" si="5"/>
        <v>3</v>
      </c>
      <c r="G92" s="7">
        <v>1109</v>
      </c>
      <c r="H92" s="2">
        <f t="shared" si="6"/>
        <v>0.26780883678990081</v>
      </c>
      <c r="I92">
        <v>32</v>
      </c>
      <c r="J92" t="s">
        <v>2</v>
      </c>
    </row>
    <row r="93" spans="1:10" x14ac:dyDescent="0.35">
      <c r="A93" t="s">
        <v>89</v>
      </c>
      <c r="B93" t="s">
        <v>214</v>
      </c>
      <c r="C93" s="5">
        <v>44238</v>
      </c>
      <c r="D93" s="1">
        <v>44239</v>
      </c>
      <c r="E93" s="4">
        <v>167</v>
      </c>
      <c r="F93">
        <f t="shared" si="5"/>
        <v>1</v>
      </c>
      <c r="G93" s="7">
        <v>1114</v>
      </c>
      <c r="H93" s="2">
        <f t="shared" si="6"/>
        <v>0.14991023339317774</v>
      </c>
      <c r="I93">
        <v>26</v>
      </c>
      <c r="J93" t="s">
        <v>2</v>
      </c>
    </row>
    <row r="94" spans="1:10" x14ac:dyDescent="0.35">
      <c r="A94" t="s">
        <v>91</v>
      </c>
      <c r="B94" t="s">
        <v>214</v>
      </c>
      <c r="C94" s="5">
        <v>44253</v>
      </c>
      <c r="D94" s="1">
        <v>44256</v>
      </c>
      <c r="E94" s="4">
        <v>254</v>
      </c>
      <c r="F94">
        <f t="shared" si="5"/>
        <v>3</v>
      </c>
      <c r="G94" s="7">
        <v>1118</v>
      </c>
      <c r="H94" s="2">
        <f t="shared" si="6"/>
        <v>0.22719141323792486</v>
      </c>
      <c r="I94">
        <v>16</v>
      </c>
      <c r="J94" t="s">
        <v>2</v>
      </c>
    </row>
    <row r="95" spans="1:10" x14ac:dyDescent="0.35">
      <c r="A95" t="s">
        <v>90</v>
      </c>
      <c r="B95" t="s">
        <v>214</v>
      </c>
      <c r="C95" s="5">
        <v>44253</v>
      </c>
      <c r="D95" s="1">
        <v>44256</v>
      </c>
      <c r="E95" s="4">
        <v>233</v>
      </c>
      <c r="F95">
        <f t="shared" si="5"/>
        <v>3</v>
      </c>
      <c r="G95" s="7">
        <v>1118</v>
      </c>
      <c r="H95" s="2">
        <f t="shared" si="6"/>
        <v>0.20840787119856888</v>
      </c>
      <c r="I95">
        <v>76</v>
      </c>
      <c r="J95" t="s">
        <v>178</v>
      </c>
    </row>
    <row r="96" spans="1:10" x14ac:dyDescent="0.35">
      <c r="A96" t="s">
        <v>92</v>
      </c>
      <c r="B96" t="s">
        <v>214</v>
      </c>
      <c r="C96" s="5">
        <v>44253</v>
      </c>
      <c r="D96" s="1">
        <v>44256</v>
      </c>
      <c r="E96" s="4">
        <v>251</v>
      </c>
      <c r="F96">
        <f t="shared" si="5"/>
        <v>3</v>
      </c>
      <c r="G96" s="7">
        <v>1118</v>
      </c>
      <c r="H96" s="2">
        <f t="shared" si="6"/>
        <v>0.22450805008944544</v>
      </c>
      <c r="I96">
        <v>11</v>
      </c>
      <c r="J96" t="s">
        <v>178</v>
      </c>
    </row>
    <row r="97" spans="1:10" x14ac:dyDescent="0.35">
      <c r="A97" t="s">
        <v>97</v>
      </c>
      <c r="B97" t="s">
        <v>214</v>
      </c>
      <c r="C97" s="5">
        <v>44278</v>
      </c>
      <c r="D97" s="1">
        <v>44281</v>
      </c>
      <c r="E97" s="4">
        <v>241</v>
      </c>
      <c r="F97">
        <f t="shared" si="5"/>
        <v>3</v>
      </c>
      <c r="G97" s="7">
        <v>1138</v>
      </c>
      <c r="H97" s="2">
        <f t="shared" si="6"/>
        <v>0.21177504393673111</v>
      </c>
      <c r="I97">
        <v>9</v>
      </c>
      <c r="J97" t="s">
        <v>176</v>
      </c>
    </row>
    <row r="98" spans="1:10" x14ac:dyDescent="0.35">
      <c r="A98" t="s">
        <v>93</v>
      </c>
      <c r="B98" t="s">
        <v>215</v>
      </c>
      <c r="C98" s="5">
        <v>44281</v>
      </c>
      <c r="D98" s="1">
        <v>44284</v>
      </c>
      <c r="E98" s="4">
        <v>330</v>
      </c>
      <c r="F98">
        <f t="shared" si="5"/>
        <v>3</v>
      </c>
      <c r="G98" s="7">
        <v>1129</v>
      </c>
      <c r="H98" s="2">
        <f t="shared" si="6"/>
        <v>0.29229406554472986</v>
      </c>
      <c r="I98">
        <v>54</v>
      </c>
      <c r="J98" t="s">
        <v>177</v>
      </c>
    </row>
    <row r="99" spans="1:10" x14ac:dyDescent="0.35">
      <c r="A99" t="s">
        <v>95</v>
      </c>
      <c r="B99" t="s">
        <v>214</v>
      </c>
      <c r="C99" s="5">
        <v>44281</v>
      </c>
      <c r="D99" s="1">
        <v>44284</v>
      </c>
      <c r="E99" s="4">
        <v>314</v>
      </c>
      <c r="F99">
        <f t="shared" ref="F99:F130" si="7">_xlfn.DAYS(D99,C99)</f>
        <v>3</v>
      </c>
      <c r="G99" s="7">
        <v>1129</v>
      </c>
      <c r="H99" s="2">
        <f t="shared" si="6"/>
        <v>0.27812223206377323</v>
      </c>
      <c r="I99">
        <v>4</v>
      </c>
      <c r="J99" t="s">
        <v>176</v>
      </c>
    </row>
    <row r="100" spans="1:10" x14ac:dyDescent="0.35">
      <c r="A100" t="s">
        <v>96</v>
      </c>
      <c r="B100" t="s">
        <v>214</v>
      </c>
      <c r="C100" s="5">
        <v>44281</v>
      </c>
      <c r="D100" s="1">
        <v>44284</v>
      </c>
      <c r="E100" s="4">
        <v>253</v>
      </c>
      <c r="F100">
        <f t="shared" si="7"/>
        <v>3</v>
      </c>
      <c r="G100" s="7">
        <v>1129</v>
      </c>
      <c r="H100" s="2">
        <f t="shared" si="6"/>
        <v>0.22409211691762621</v>
      </c>
      <c r="I100">
        <v>12</v>
      </c>
      <c r="J100" t="s">
        <v>176</v>
      </c>
    </row>
    <row r="101" spans="1:10" x14ac:dyDescent="0.35">
      <c r="A101" t="s">
        <v>94</v>
      </c>
      <c r="B101" t="s">
        <v>215</v>
      </c>
      <c r="C101" s="5">
        <v>44288</v>
      </c>
      <c r="D101" s="1">
        <v>44293</v>
      </c>
      <c r="E101" s="4">
        <v>372</v>
      </c>
      <c r="F101">
        <f t="shared" si="7"/>
        <v>5</v>
      </c>
      <c r="G101" s="7">
        <v>1141</v>
      </c>
      <c r="H101" s="2">
        <f t="shared" si="6"/>
        <v>0.32602979842243646</v>
      </c>
      <c r="I101">
        <v>54</v>
      </c>
      <c r="J101" t="s">
        <v>177</v>
      </c>
    </row>
    <row r="102" spans="1:10" x14ac:dyDescent="0.35">
      <c r="A102" t="s">
        <v>98</v>
      </c>
      <c r="B102" t="s">
        <v>214</v>
      </c>
      <c r="C102" s="5">
        <v>44301</v>
      </c>
      <c r="D102" s="1">
        <v>44302</v>
      </c>
      <c r="E102" s="4">
        <v>251</v>
      </c>
      <c r="F102">
        <f t="shared" si="7"/>
        <v>1</v>
      </c>
      <c r="G102" s="7">
        <v>1136</v>
      </c>
      <c r="H102" s="2">
        <f t="shared" si="6"/>
        <v>0.22095070422535212</v>
      </c>
      <c r="I102">
        <v>23</v>
      </c>
      <c r="J102" t="s">
        <v>2</v>
      </c>
    </row>
    <row r="103" spans="1:10" x14ac:dyDescent="0.35">
      <c r="A103" t="s">
        <v>99</v>
      </c>
      <c r="B103" t="s">
        <v>215</v>
      </c>
      <c r="C103" s="5">
        <v>44310</v>
      </c>
      <c r="D103" s="1">
        <v>44314</v>
      </c>
      <c r="E103" s="4">
        <v>618</v>
      </c>
      <c r="F103">
        <f t="shared" si="7"/>
        <v>4</v>
      </c>
      <c r="G103" s="7">
        <v>1138</v>
      </c>
      <c r="H103" s="2">
        <f t="shared" si="6"/>
        <v>0.54305799648506148</v>
      </c>
      <c r="I103">
        <v>216</v>
      </c>
      <c r="J103" t="s">
        <v>177</v>
      </c>
    </row>
    <row r="104" spans="1:10" x14ac:dyDescent="0.35">
      <c r="A104" t="s">
        <v>100</v>
      </c>
      <c r="B104" t="s">
        <v>215</v>
      </c>
      <c r="C104" s="5">
        <v>44337</v>
      </c>
      <c r="D104" s="1">
        <v>44340</v>
      </c>
      <c r="E104" s="4">
        <v>388</v>
      </c>
      <c r="F104">
        <f t="shared" si="7"/>
        <v>3</v>
      </c>
      <c r="G104" s="7">
        <v>1148</v>
      </c>
      <c r="H104" s="2">
        <f t="shared" si="6"/>
        <v>0.33797909407665505</v>
      </c>
      <c r="I104">
        <v>22</v>
      </c>
      <c r="J104" t="s">
        <v>177</v>
      </c>
    </row>
    <row r="105" spans="1:10" x14ac:dyDescent="0.35">
      <c r="A105" t="s">
        <v>101</v>
      </c>
      <c r="B105" t="s">
        <v>215</v>
      </c>
      <c r="C105" s="5">
        <v>44337</v>
      </c>
      <c r="D105" s="1">
        <v>44340</v>
      </c>
      <c r="E105" s="4">
        <v>373</v>
      </c>
      <c r="F105">
        <f t="shared" si="7"/>
        <v>3</v>
      </c>
      <c r="G105" s="7">
        <v>1148</v>
      </c>
      <c r="H105" s="2">
        <f t="shared" si="6"/>
        <v>0.32491289198606271</v>
      </c>
      <c r="I105">
        <v>28</v>
      </c>
      <c r="J105" t="s">
        <v>177</v>
      </c>
    </row>
    <row r="106" spans="1:10" x14ac:dyDescent="0.35">
      <c r="A106" t="s">
        <v>102</v>
      </c>
      <c r="B106" t="s">
        <v>215</v>
      </c>
      <c r="C106" s="5">
        <v>44337</v>
      </c>
      <c r="D106" s="1">
        <v>44340</v>
      </c>
      <c r="E106" s="4">
        <v>463</v>
      </c>
      <c r="F106">
        <f t="shared" si="7"/>
        <v>3</v>
      </c>
      <c r="G106" s="7">
        <v>1148</v>
      </c>
      <c r="H106" s="2">
        <f t="shared" si="6"/>
        <v>0.40331010452961674</v>
      </c>
      <c r="I106">
        <v>70</v>
      </c>
      <c r="J106" t="s">
        <v>2</v>
      </c>
    </row>
    <row r="107" spans="1:10" x14ac:dyDescent="0.35">
      <c r="A107" t="s">
        <v>103</v>
      </c>
      <c r="B107" t="s">
        <v>214</v>
      </c>
      <c r="C107" s="5">
        <v>44365</v>
      </c>
      <c r="D107" s="1">
        <v>44369</v>
      </c>
      <c r="E107" s="4">
        <v>549</v>
      </c>
      <c r="F107">
        <f t="shared" si="7"/>
        <v>4</v>
      </c>
      <c r="G107" s="7">
        <v>1150</v>
      </c>
      <c r="H107" s="2">
        <f t="shared" si="6"/>
        <v>0.47739130434782606</v>
      </c>
      <c r="I107">
        <v>72</v>
      </c>
      <c r="J107" t="s">
        <v>177</v>
      </c>
    </row>
    <row r="108" spans="1:10" x14ac:dyDescent="0.35">
      <c r="A108" t="s">
        <v>104</v>
      </c>
      <c r="B108" t="s">
        <v>215</v>
      </c>
      <c r="C108" s="5">
        <v>44372</v>
      </c>
      <c r="D108" s="1">
        <v>44375</v>
      </c>
      <c r="E108" s="4">
        <v>378</v>
      </c>
      <c r="F108">
        <f t="shared" si="7"/>
        <v>3</v>
      </c>
      <c r="G108" s="7">
        <v>1155</v>
      </c>
      <c r="H108" s="2">
        <f t="shared" si="6"/>
        <v>0.32727272727272727</v>
      </c>
      <c r="I108">
        <v>112</v>
      </c>
      <c r="J108" t="s">
        <v>177</v>
      </c>
    </row>
    <row r="109" spans="1:10" x14ac:dyDescent="0.35">
      <c r="A109" t="s">
        <v>105</v>
      </c>
      <c r="B109" t="s">
        <v>215</v>
      </c>
      <c r="C109" s="5">
        <v>44379</v>
      </c>
      <c r="D109" s="1">
        <v>44384</v>
      </c>
      <c r="E109" s="4">
        <v>432</v>
      </c>
      <c r="F109">
        <f t="shared" si="7"/>
        <v>5</v>
      </c>
      <c r="G109" s="7">
        <v>1158</v>
      </c>
      <c r="H109" s="2">
        <f t="shared" si="6"/>
        <v>0.37305699481865284</v>
      </c>
      <c r="I109">
        <v>112</v>
      </c>
      <c r="J109" t="s">
        <v>177</v>
      </c>
    </row>
    <row r="110" spans="1:10" x14ac:dyDescent="0.35">
      <c r="A110" t="s">
        <v>107</v>
      </c>
      <c r="B110" t="s">
        <v>215</v>
      </c>
      <c r="C110" s="5">
        <v>44435</v>
      </c>
      <c r="D110" s="1">
        <v>44438</v>
      </c>
      <c r="E110" s="4">
        <v>293</v>
      </c>
      <c r="F110">
        <f t="shared" si="7"/>
        <v>3</v>
      </c>
      <c r="G110" s="7">
        <v>1166</v>
      </c>
      <c r="H110" s="2">
        <f t="shared" si="6"/>
        <v>0.25128644939965694</v>
      </c>
      <c r="I110">
        <v>36</v>
      </c>
      <c r="J110" t="s">
        <v>177</v>
      </c>
    </row>
    <row r="111" spans="1:10" x14ac:dyDescent="0.35">
      <c r="A111" t="s">
        <v>106</v>
      </c>
      <c r="B111" t="s">
        <v>214</v>
      </c>
      <c r="C111" s="5">
        <v>44435</v>
      </c>
      <c r="D111" s="1">
        <v>44438</v>
      </c>
      <c r="E111" s="4">
        <v>302</v>
      </c>
      <c r="F111">
        <f t="shared" si="7"/>
        <v>3</v>
      </c>
      <c r="G111" s="7">
        <v>1166</v>
      </c>
      <c r="H111" s="2">
        <f t="shared" si="6"/>
        <v>0.25900514579759865</v>
      </c>
      <c r="I111">
        <v>49</v>
      </c>
      <c r="J111" t="s">
        <v>178</v>
      </c>
    </row>
    <row r="112" spans="1:10" x14ac:dyDescent="0.35">
      <c r="A112" t="s">
        <v>108</v>
      </c>
      <c r="B112" t="s">
        <v>215</v>
      </c>
      <c r="C112" s="5">
        <v>44463</v>
      </c>
      <c r="D112" s="1">
        <v>44466</v>
      </c>
      <c r="E112" s="4">
        <v>351</v>
      </c>
      <c r="F112">
        <f t="shared" si="7"/>
        <v>3</v>
      </c>
      <c r="G112" s="7">
        <v>1170</v>
      </c>
      <c r="H112" s="2">
        <f t="shared" si="6"/>
        <v>0.3</v>
      </c>
      <c r="I112">
        <v>18</v>
      </c>
      <c r="J112" t="s">
        <v>177</v>
      </c>
    </row>
    <row r="113" spans="1:10" x14ac:dyDescent="0.35">
      <c r="A113" t="s">
        <v>109</v>
      </c>
      <c r="B113" t="s">
        <v>214</v>
      </c>
      <c r="C113" s="5">
        <v>44463</v>
      </c>
      <c r="D113" s="1">
        <v>44466</v>
      </c>
      <c r="E113" s="4">
        <v>305</v>
      </c>
      <c r="F113">
        <f t="shared" si="7"/>
        <v>3</v>
      </c>
      <c r="G113" s="7">
        <v>1171</v>
      </c>
      <c r="H113" s="2">
        <f t="shared" si="6"/>
        <v>0.26046114432109307</v>
      </c>
      <c r="I113">
        <v>104</v>
      </c>
      <c r="J113" t="s">
        <v>2</v>
      </c>
    </row>
    <row r="114" spans="1:10" x14ac:dyDescent="0.35">
      <c r="A114" t="s">
        <v>110</v>
      </c>
      <c r="B114" t="s">
        <v>215</v>
      </c>
      <c r="C114" s="5">
        <v>44477</v>
      </c>
      <c r="D114" s="1">
        <v>44480</v>
      </c>
      <c r="E114" s="4">
        <v>319</v>
      </c>
      <c r="F114">
        <f t="shared" si="7"/>
        <v>3</v>
      </c>
      <c r="G114" s="7">
        <v>1169</v>
      </c>
      <c r="H114" s="2">
        <f t="shared" si="6"/>
        <v>0.27288280581693758</v>
      </c>
      <c r="I114">
        <v>34</v>
      </c>
      <c r="J114" t="s">
        <v>177</v>
      </c>
    </row>
    <row r="115" spans="1:10" x14ac:dyDescent="0.35">
      <c r="A115" t="s">
        <v>111</v>
      </c>
      <c r="B115" t="s">
        <v>215</v>
      </c>
      <c r="C115" s="5">
        <v>44484</v>
      </c>
      <c r="D115" s="1">
        <v>44487</v>
      </c>
      <c r="E115" s="4">
        <v>363</v>
      </c>
      <c r="F115">
        <f t="shared" si="7"/>
        <v>3</v>
      </c>
      <c r="G115" s="7">
        <v>1174</v>
      </c>
      <c r="H115" s="2">
        <f t="shared" si="6"/>
        <v>0.30919931856899491</v>
      </c>
      <c r="I115">
        <v>34</v>
      </c>
      <c r="J115" t="s">
        <v>177</v>
      </c>
    </row>
    <row r="116" spans="1:10" x14ac:dyDescent="0.35">
      <c r="A116" t="s">
        <v>30</v>
      </c>
      <c r="B116" t="s">
        <v>215</v>
      </c>
      <c r="C116" s="5">
        <v>44498</v>
      </c>
      <c r="D116" s="1">
        <v>44503</v>
      </c>
      <c r="E116" s="4">
        <v>561</v>
      </c>
      <c r="F116">
        <f t="shared" si="7"/>
        <v>5</v>
      </c>
      <c r="G116" s="7">
        <v>1180</v>
      </c>
      <c r="H116" s="2">
        <f t="shared" si="6"/>
        <v>0.47542372881355932</v>
      </c>
      <c r="I116">
        <v>60</v>
      </c>
      <c r="J116" t="s">
        <v>177</v>
      </c>
    </row>
    <row r="117" spans="1:10" x14ac:dyDescent="0.35">
      <c r="A117" t="s">
        <v>113</v>
      </c>
      <c r="B117" t="s">
        <v>215</v>
      </c>
      <c r="C117" s="5">
        <v>44498</v>
      </c>
      <c r="D117" s="1">
        <v>44503</v>
      </c>
      <c r="E117" s="4">
        <v>369</v>
      </c>
      <c r="F117">
        <f t="shared" si="7"/>
        <v>5</v>
      </c>
      <c r="G117" s="7">
        <v>1180</v>
      </c>
      <c r="H117" s="2">
        <f t="shared" si="6"/>
        <v>0.31271186440677967</v>
      </c>
      <c r="I117">
        <v>26</v>
      </c>
      <c r="J117" t="s">
        <v>177</v>
      </c>
    </row>
    <row r="118" spans="1:10" x14ac:dyDescent="0.35">
      <c r="A118" t="s">
        <v>114</v>
      </c>
      <c r="B118" t="s">
        <v>215</v>
      </c>
      <c r="C118" s="5">
        <v>44505</v>
      </c>
      <c r="D118" s="1">
        <v>44508</v>
      </c>
      <c r="E118" s="4">
        <v>338</v>
      </c>
      <c r="F118">
        <f t="shared" si="7"/>
        <v>3</v>
      </c>
      <c r="G118" s="7">
        <v>1183</v>
      </c>
      <c r="H118" s="2">
        <f t="shared" si="6"/>
        <v>0.2857142857142857</v>
      </c>
      <c r="I118">
        <v>26</v>
      </c>
      <c r="J118" t="s">
        <v>177</v>
      </c>
    </row>
    <row r="119" spans="1:10" x14ac:dyDescent="0.35">
      <c r="A119" t="s">
        <v>112</v>
      </c>
      <c r="B119" t="s">
        <v>214</v>
      </c>
      <c r="C119" s="5">
        <v>44505</v>
      </c>
      <c r="D119" s="1">
        <v>44508</v>
      </c>
      <c r="E119" s="4">
        <v>341</v>
      </c>
      <c r="F119">
        <f t="shared" si="7"/>
        <v>3</v>
      </c>
      <c r="G119" s="7">
        <v>1182</v>
      </c>
      <c r="H119" s="2">
        <f t="shared" si="6"/>
        <v>0.28849407783417935</v>
      </c>
      <c r="I119">
        <v>44</v>
      </c>
      <c r="J119" t="s">
        <v>176</v>
      </c>
    </row>
    <row r="120" spans="1:10" x14ac:dyDescent="0.35">
      <c r="A120" t="s">
        <v>115</v>
      </c>
      <c r="B120" t="s">
        <v>214</v>
      </c>
      <c r="C120" s="1">
        <v>44508</v>
      </c>
      <c r="D120" s="1">
        <v>44509</v>
      </c>
      <c r="E120" s="4">
        <v>465</v>
      </c>
      <c r="F120">
        <f t="shared" si="7"/>
        <v>1</v>
      </c>
      <c r="G120" s="7">
        <v>1186</v>
      </c>
      <c r="H120" s="2">
        <f t="shared" si="6"/>
        <v>0.39207419898819562</v>
      </c>
      <c r="I120">
        <v>25</v>
      </c>
      <c r="J120" t="s">
        <v>2</v>
      </c>
    </row>
    <row r="121" spans="1:10" x14ac:dyDescent="0.35">
      <c r="A121" t="s">
        <v>116</v>
      </c>
      <c r="B121" t="s">
        <v>214</v>
      </c>
      <c r="C121" s="5">
        <v>44510</v>
      </c>
      <c r="D121" s="1">
        <v>44511</v>
      </c>
      <c r="E121" s="4">
        <v>513</v>
      </c>
      <c r="F121">
        <f t="shared" si="7"/>
        <v>1</v>
      </c>
      <c r="G121" s="7">
        <v>1186</v>
      </c>
      <c r="H121" s="2">
        <f t="shared" si="6"/>
        <v>0.43254637436762228</v>
      </c>
      <c r="I121">
        <v>95</v>
      </c>
      <c r="J121" t="s">
        <v>178</v>
      </c>
    </row>
    <row r="122" spans="1:10" x14ac:dyDescent="0.35">
      <c r="A122" t="s">
        <v>117</v>
      </c>
      <c r="B122" t="s">
        <v>214</v>
      </c>
      <c r="C122" s="6">
        <v>44512</v>
      </c>
      <c r="D122" s="1">
        <v>44515</v>
      </c>
      <c r="E122" s="4">
        <v>1082</v>
      </c>
      <c r="F122">
        <f t="shared" si="7"/>
        <v>3</v>
      </c>
      <c r="G122" s="7">
        <v>1193</v>
      </c>
      <c r="H122" s="2">
        <f t="shared" si="6"/>
        <v>0.90695725062866728</v>
      </c>
      <c r="I122">
        <v>351</v>
      </c>
      <c r="J122" t="s">
        <v>178</v>
      </c>
    </row>
    <row r="123" spans="1:10" x14ac:dyDescent="0.35">
      <c r="A123" t="s">
        <v>118</v>
      </c>
      <c r="B123" t="s">
        <v>214</v>
      </c>
      <c r="C123" s="5">
        <v>44519</v>
      </c>
      <c r="D123" s="1">
        <v>44522</v>
      </c>
      <c r="E123" s="4">
        <v>658</v>
      </c>
      <c r="F123">
        <f t="shared" si="7"/>
        <v>3</v>
      </c>
      <c r="G123" s="7">
        <v>1189</v>
      </c>
      <c r="H123" s="2">
        <f t="shared" si="6"/>
        <v>0.55340622371740955</v>
      </c>
      <c r="I123">
        <v>37</v>
      </c>
      <c r="J123" t="s">
        <v>177</v>
      </c>
    </row>
    <row r="124" spans="1:10" x14ac:dyDescent="0.35">
      <c r="A124" t="s">
        <v>119</v>
      </c>
      <c r="B124" t="s">
        <v>214</v>
      </c>
      <c r="C124" s="5">
        <v>44533</v>
      </c>
      <c r="D124" s="1">
        <v>44536</v>
      </c>
      <c r="E124" s="4">
        <v>322</v>
      </c>
      <c r="F124">
        <f t="shared" si="7"/>
        <v>3</v>
      </c>
      <c r="G124" s="7">
        <v>1198</v>
      </c>
      <c r="H124" s="2">
        <f t="shared" si="6"/>
        <v>0.26878130217028379</v>
      </c>
      <c r="I124">
        <v>72</v>
      </c>
      <c r="J124" t="s">
        <v>177</v>
      </c>
    </row>
    <row r="125" spans="1:10" x14ac:dyDescent="0.35">
      <c r="A125" t="s">
        <v>120</v>
      </c>
      <c r="B125" t="s">
        <v>214</v>
      </c>
      <c r="C125" s="5">
        <v>44540</v>
      </c>
      <c r="D125" s="1">
        <v>44543</v>
      </c>
      <c r="E125" s="4">
        <v>321</v>
      </c>
      <c r="F125">
        <f t="shared" si="7"/>
        <v>3</v>
      </c>
      <c r="G125" s="7">
        <v>1200</v>
      </c>
      <c r="H125" s="2">
        <f t="shared" si="6"/>
        <v>0.26750000000000002</v>
      </c>
      <c r="I125">
        <v>72</v>
      </c>
      <c r="J125" t="s">
        <v>177</v>
      </c>
    </row>
    <row r="126" spans="1:10" x14ac:dyDescent="0.35">
      <c r="A126" t="s">
        <v>121</v>
      </c>
      <c r="B126" t="s">
        <v>214</v>
      </c>
      <c r="C126" s="5">
        <v>44547</v>
      </c>
      <c r="D126" s="1">
        <v>44548</v>
      </c>
      <c r="E126" s="4">
        <v>287</v>
      </c>
      <c r="F126">
        <f t="shared" si="7"/>
        <v>1</v>
      </c>
      <c r="G126" s="7">
        <v>1202</v>
      </c>
      <c r="H126" s="2">
        <f t="shared" si="6"/>
        <v>0.23876871880199668</v>
      </c>
      <c r="I126">
        <v>15</v>
      </c>
      <c r="J126" t="s">
        <v>2</v>
      </c>
    </row>
    <row r="127" spans="1:10" x14ac:dyDescent="0.35">
      <c r="A127" t="s">
        <v>122</v>
      </c>
      <c r="B127" t="s">
        <v>214</v>
      </c>
      <c r="C127" s="5">
        <v>44560</v>
      </c>
      <c r="D127" s="1">
        <v>44564</v>
      </c>
      <c r="E127" s="4">
        <v>357</v>
      </c>
      <c r="F127">
        <f t="shared" si="7"/>
        <v>4</v>
      </c>
      <c r="G127" s="7">
        <v>1204</v>
      </c>
      <c r="H127" s="2">
        <f t="shared" si="6"/>
        <v>0.29651162790697677</v>
      </c>
      <c r="I127">
        <v>21</v>
      </c>
      <c r="J127" t="s">
        <v>2</v>
      </c>
    </row>
    <row r="128" spans="1:10" x14ac:dyDescent="0.35">
      <c r="A128" t="s">
        <v>123</v>
      </c>
      <c r="B128" t="s">
        <v>214</v>
      </c>
      <c r="C128" s="5">
        <v>44560</v>
      </c>
      <c r="D128" s="1">
        <v>44564</v>
      </c>
      <c r="E128" s="4">
        <v>237</v>
      </c>
      <c r="F128">
        <f t="shared" si="7"/>
        <v>4</v>
      </c>
      <c r="G128" s="7">
        <v>1204</v>
      </c>
      <c r="H128" s="2">
        <f t="shared" si="6"/>
        <v>0.19684385382059802</v>
      </c>
      <c r="I128">
        <v>20</v>
      </c>
      <c r="J128" t="s">
        <v>176</v>
      </c>
    </row>
    <row r="129" spans="1:10" x14ac:dyDescent="0.35">
      <c r="A129" t="s">
        <v>125</v>
      </c>
      <c r="B129" t="s">
        <v>215</v>
      </c>
      <c r="C129" s="1">
        <v>44569</v>
      </c>
      <c r="D129" s="1">
        <v>44569</v>
      </c>
      <c r="E129" s="4">
        <v>929</v>
      </c>
      <c r="F129">
        <f t="shared" si="7"/>
        <v>0</v>
      </c>
      <c r="G129" s="7">
        <v>1232</v>
      </c>
      <c r="H129" s="2">
        <f t="shared" si="6"/>
        <v>0.75405844155844159</v>
      </c>
      <c r="I129">
        <v>117</v>
      </c>
      <c r="J129" t="s">
        <v>177</v>
      </c>
    </row>
    <row r="130" spans="1:10" x14ac:dyDescent="0.35">
      <c r="A130" t="s">
        <v>126</v>
      </c>
      <c r="B130" t="s">
        <v>215</v>
      </c>
      <c r="C130" s="1">
        <v>44569</v>
      </c>
      <c r="D130" s="1">
        <v>44569</v>
      </c>
      <c r="E130" s="4">
        <v>798</v>
      </c>
      <c r="F130">
        <f t="shared" si="7"/>
        <v>0</v>
      </c>
      <c r="G130" s="7">
        <v>1232</v>
      </c>
      <c r="H130" s="2">
        <f t="shared" si="6"/>
        <v>0.64772727272727271</v>
      </c>
      <c r="I130">
        <v>117</v>
      </c>
      <c r="J130" t="s">
        <v>177</v>
      </c>
    </row>
    <row r="131" spans="1:10" x14ac:dyDescent="0.35">
      <c r="A131" t="s">
        <v>127</v>
      </c>
      <c r="B131" t="s">
        <v>215</v>
      </c>
      <c r="C131" s="1">
        <v>44569</v>
      </c>
      <c r="D131" s="1">
        <v>44569</v>
      </c>
      <c r="E131" s="4">
        <v>948</v>
      </c>
      <c r="F131">
        <f t="shared" ref="F131:F162" si="8">_xlfn.DAYS(D131,C131)</f>
        <v>0</v>
      </c>
      <c r="G131" s="7">
        <v>1232</v>
      </c>
      <c r="H131" s="2">
        <f t="shared" ref="H131:H194" si="9">E131/G131</f>
        <v>0.76948051948051943</v>
      </c>
      <c r="I131">
        <v>117</v>
      </c>
      <c r="J131" t="s">
        <v>177</v>
      </c>
    </row>
    <row r="132" spans="1:10" x14ac:dyDescent="0.35">
      <c r="A132" t="s">
        <v>128</v>
      </c>
      <c r="B132" t="s">
        <v>215</v>
      </c>
      <c r="C132" s="1">
        <v>44569</v>
      </c>
      <c r="D132" s="1">
        <v>44569</v>
      </c>
      <c r="E132" s="4">
        <v>735</v>
      </c>
      <c r="F132">
        <f t="shared" si="8"/>
        <v>0</v>
      </c>
      <c r="G132" s="7">
        <v>1232</v>
      </c>
      <c r="H132" s="2">
        <f t="shared" si="9"/>
        <v>0.59659090909090906</v>
      </c>
      <c r="I132">
        <v>117</v>
      </c>
      <c r="J132" t="s">
        <v>177</v>
      </c>
    </row>
    <row r="133" spans="1:10" x14ac:dyDescent="0.35">
      <c r="A133" t="s">
        <v>129</v>
      </c>
      <c r="B133" t="s">
        <v>215</v>
      </c>
      <c r="C133" s="1">
        <v>44569</v>
      </c>
      <c r="D133" s="1">
        <v>44569</v>
      </c>
      <c r="E133" s="4">
        <v>663</v>
      </c>
      <c r="F133">
        <f t="shared" si="8"/>
        <v>0</v>
      </c>
      <c r="G133" s="7">
        <v>1232</v>
      </c>
      <c r="H133" s="2">
        <f t="shared" si="9"/>
        <v>0.53814935064935066</v>
      </c>
      <c r="I133">
        <v>117</v>
      </c>
      <c r="J133" t="s">
        <v>177</v>
      </c>
    </row>
    <row r="134" spans="1:10" x14ac:dyDescent="0.35">
      <c r="A134" t="s">
        <v>130</v>
      </c>
      <c r="B134" t="s">
        <v>215</v>
      </c>
      <c r="C134" s="1">
        <v>44569</v>
      </c>
      <c r="D134" s="1">
        <v>44569</v>
      </c>
      <c r="E134" s="4">
        <v>695</v>
      </c>
      <c r="F134">
        <f t="shared" si="8"/>
        <v>0</v>
      </c>
      <c r="G134" s="7">
        <v>1232</v>
      </c>
      <c r="H134" s="2">
        <f t="shared" si="9"/>
        <v>0.56412337662337664</v>
      </c>
      <c r="I134">
        <v>117</v>
      </c>
      <c r="J134" t="s">
        <v>177</v>
      </c>
    </row>
    <row r="135" spans="1:10" x14ac:dyDescent="0.35">
      <c r="A135" t="s">
        <v>131</v>
      </c>
      <c r="B135" t="s">
        <v>215</v>
      </c>
      <c r="C135" s="1">
        <v>44569</v>
      </c>
      <c r="D135" s="1">
        <v>44569</v>
      </c>
      <c r="E135" s="4">
        <v>668</v>
      </c>
      <c r="F135">
        <f t="shared" si="8"/>
        <v>0</v>
      </c>
      <c r="G135" s="7">
        <v>1232</v>
      </c>
      <c r="H135" s="2">
        <f t="shared" si="9"/>
        <v>0.54220779220779225</v>
      </c>
      <c r="I135">
        <v>117</v>
      </c>
      <c r="J135" t="s">
        <v>177</v>
      </c>
    </row>
    <row r="136" spans="1:10" x14ac:dyDescent="0.35">
      <c r="A136" t="s">
        <v>124</v>
      </c>
      <c r="B136" t="s">
        <v>214</v>
      </c>
      <c r="C136" s="1">
        <v>44569</v>
      </c>
      <c r="D136" s="1">
        <v>44569</v>
      </c>
      <c r="E136" s="4">
        <v>542</v>
      </c>
      <c r="F136">
        <f t="shared" si="8"/>
        <v>0</v>
      </c>
      <c r="G136" s="7">
        <v>1232</v>
      </c>
      <c r="H136" s="2">
        <f t="shared" si="9"/>
        <v>0.43993506493506496</v>
      </c>
      <c r="I136">
        <v>83</v>
      </c>
      <c r="J136" t="s">
        <v>2</v>
      </c>
    </row>
    <row r="137" spans="1:10" x14ac:dyDescent="0.35">
      <c r="A137" t="s">
        <v>23</v>
      </c>
      <c r="B137" t="s">
        <v>215</v>
      </c>
      <c r="C137" s="5">
        <v>44575</v>
      </c>
      <c r="D137" s="1">
        <v>44578</v>
      </c>
      <c r="E137" s="4">
        <v>493</v>
      </c>
      <c r="F137">
        <f t="shared" si="8"/>
        <v>3</v>
      </c>
      <c r="G137" s="7">
        <v>1234</v>
      </c>
      <c r="H137" s="2">
        <f t="shared" si="9"/>
        <v>0.39951377633711505</v>
      </c>
      <c r="I137">
        <v>99</v>
      </c>
      <c r="J137" t="s">
        <v>177</v>
      </c>
    </row>
    <row r="138" spans="1:10" x14ac:dyDescent="0.35">
      <c r="A138" t="s">
        <v>132</v>
      </c>
      <c r="B138" t="s">
        <v>214</v>
      </c>
      <c r="C138" s="5">
        <v>44582</v>
      </c>
      <c r="D138" s="1">
        <v>44585</v>
      </c>
      <c r="E138" s="4">
        <v>274</v>
      </c>
      <c r="F138">
        <f t="shared" si="8"/>
        <v>3</v>
      </c>
      <c r="G138" s="7">
        <v>1233</v>
      </c>
      <c r="H138" s="2">
        <f t="shared" si="9"/>
        <v>0.22222222222222221</v>
      </c>
      <c r="I138">
        <v>19</v>
      </c>
      <c r="J138" t="s">
        <v>2</v>
      </c>
    </row>
    <row r="139" spans="1:10" x14ac:dyDescent="0.35">
      <c r="A139" t="s">
        <v>133</v>
      </c>
      <c r="B139" t="s">
        <v>214</v>
      </c>
      <c r="C139" s="5">
        <v>44582</v>
      </c>
      <c r="D139" s="1">
        <v>44585</v>
      </c>
      <c r="E139" s="4">
        <v>242</v>
      </c>
      <c r="F139">
        <f t="shared" si="8"/>
        <v>3</v>
      </c>
      <c r="G139" s="7">
        <v>1233</v>
      </c>
      <c r="H139" s="2">
        <f t="shared" si="9"/>
        <v>0.19626926196269262</v>
      </c>
      <c r="I139">
        <v>14</v>
      </c>
      <c r="J139" t="s">
        <v>176</v>
      </c>
    </row>
    <row r="140" spans="1:10" x14ac:dyDescent="0.35">
      <c r="A140" t="s">
        <v>100</v>
      </c>
      <c r="B140" t="s">
        <v>215</v>
      </c>
      <c r="C140" s="5">
        <v>44603</v>
      </c>
      <c r="D140" s="1">
        <v>44607</v>
      </c>
      <c r="E140" s="4">
        <v>363</v>
      </c>
      <c r="F140">
        <f t="shared" si="8"/>
        <v>4</v>
      </c>
      <c r="G140" s="7">
        <v>1238</v>
      </c>
      <c r="H140" s="2">
        <f t="shared" si="9"/>
        <v>0.29321486268174474</v>
      </c>
      <c r="I140">
        <v>32</v>
      </c>
      <c r="J140" t="s">
        <v>2</v>
      </c>
    </row>
    <row r="141" spans="1:10" x14ac:dyDescent="0.35">
      <c r="A141" t="s">
        <v>134</v>
      </c>
      <c r="B141" t="s">
        <v>214</v>
      </c>
      <c r="C141" s="5">
        <v>44606</v>
      </c>
      <c r="D141" s="1">
        <v>44607</v>
      </c>
      <c r="E141" s="4">
        <v>357</v>
      </c>
      <c r="F141">
        <f t="shared" si="8"/>
        <v>1</v>
      </c>
      <c r="G141" s="7">
        <v>1236</v>
      </c>
      <c r="H141" s="2">
        <f t="shared" si="9"/>
        <v>0.28883495145631066</v>
      </c>
      <c r="I141">
        <v>92</v>
      </c>
      <c r="J141" t="s">
        <v>2</v>
      </c>
    </row>
    <row r="142" spans="1:10" x14ac:dyDescent="0.35">
      <c r="A142" t="s">
        <v>135</v>
      </c>
      <c r="B142" t="s">
        <v>214</v>
      </c>
      <c r="C142" s="5">
        <v>44610</v>
      </c>
      <c r="D142" s="1">
        <v>44613</v>
      </c>
      <c r="E142" s="4">
        <v>394</v>
      </c>
      <c r="F142">
        <f t="shared" si="8"/>
        <v>3</v>
      </c>
      <c r="G142" s="7">
        <v>1236</v>
      </c>
      <c r="H142" s="2">
        <f t="shared" si="9"/>
        <v>0.31877022653721682</v>
      </c>
      <c r="I142">
        <v>101</v>
      </c>
      <c r="J142" t="s">
        <v>2</v>
      </c>
    </row>
    <row r="143" spans="1:10" x14ac:dyDescent="0.35">
      <c r="A143" t="s">
        <v>139</v>
      </c>
      <c r="B143" t="s">
        <v>215</v>
      </c>
      <c r="C143" s="5">
        <v>44624</v>
      </c>
      <c r="D143" s="1">
        <v>44627</v>
      </c>
      <c r="E143" s="4">
        <v>311</v>
      </c>
      <c r="F143">
        <f t="shared" si="8"/>
        <v>3</v>
      </c>
      <c r="G143" s="7">
        <v>1233</v>
      </c>
      <c r="H143" s="2">
        <f t="shared" si="9"/>
        <v>0.25223033252230331</v>
      </c>
      <c r="I143">
        <v>10</v>
      </c>
      <c r="J143" t="s">
        <v>177</v>
      </c>
    </row>
    <row r="144" spans="1:10" x14ac:dyDescent="0.35">
      <c r="A144" t="s">
        <v>137</v>
      </c>
      <c r="B144" t="s">
        <v>214</v>
      </c>
      <c r="C144" s="5">
        <v>44624</v>
      </c>
      <c r="D144" s="1">
        <v>44627</v>
      </c>
      <c r="E144" s="4">
        <v>367</v>
      </c>
      <c r="F144">
        <f t="shared" si="8"/>
        <v>3</v>
      </c>
      <c r="G144" s="7">
        <v>1233</v>
      </c>
      <c r="H144" s="2">
        <f t="shared" si="9"/>
        <v>0.29764801297648014</v>
      </c>
      <c r="I144">
        <v>65</v>
      </c>
      <c r="J144" t="s">
        <v>2</v>
      </c>
    </row>
    <row r="145" spans="1:10" x14ac:dyDescent="0.35">
      <c r="A145" t="s">
        <v>138</v>
      </c>
      <c r="B145" t="s">
        <v>214</v>
      </c>
      <c r="C145" s="5">
        <v>44624</v>
      </c>
      <c r="D145" s="1">
        <v>44627</v>
      </c>
      <c r="E145" s="4">
        <v>337</v>
      </c>
      <c r="F145">
        <f t="shared" si="8"/>
        <v>3</v>
      </c>
      <c r="G145" s="7">
        <v>1233</v>
      </c>
      <c r="H145" s="2">
        <f t="shared" si="9"/>
        <v>0.27331711273317111</v>
      </c>
      <c r="I145">
        <v>9</v>
      </c>
      <c r="J145" t="s">
        <v>2</v>
      </c>
    </row>
    <row r="146" spans="1:10" x14ac:dyDescent="0.35">
      <c r="A146" t="s">
        <v>136</v>
      </c>
      <c r="B146" t="s">
        <v>214</v>
      </c>
      <c r="C146" s="5">
        <v>44624</v>
      </c>
      <c r="D146" s="1">
        <v>44627</v>
      </c>
      <c r="E146" s="4">
        <v>276</v>
      </c>
      <c r="F146">
        <f t="shared" si="8"/>
        <v>3</v>
      </c>
      <c r="G146" s="7">
        <v>1233</v>
      </c>
      <c r="H146" s="2">
        <f t="shared" si="9"/>
        <v>0.22384428223844283</v>
      </c>
      <c r="I146">
        <v>13</v>
      </c>
      <c r="J146" t="s">
        <v>178</v>
      </c>
    </row>
    <row r="147" spans="1:10" x14ac:dyDescent="0.35">
      <c r="A147" t="s">
        <v>140</v>
      </c>
      <c r="B147" t="s">
        <v>214</v>
      </c>
      <c r="C147" s="5">
        <v>44652</v>
      </c>
      <c r="D147" s="1">
        <v>44656</v>
      </c>
      <c r="E147" s="4">
        <v>317</v>
      </c>
      <c r="F147">
        <f t="shared" si="8"/>
        <v>4</v>
      </c>
      <c r="G147" s="7">
        <v>1229</v>
      </c>
      <c r="H147" s="2">
        <f t="shared" si="9"/>
        <v>0.25793327908869002</v>
      </c>
      <c r="I147">
        <v>15</v>
      </c>
      <c r="J147" t="s">
        <v>176</v>
      </c>
    </row>
    <row r="148" spans="1:10" x14ac:dyDescent="0.35">
      <c r="A148" t="s">
        <v>141</v>
      </c>
      <c r="B148" t="s">
        <v>214</v>
      </c>
      <c r="C148" s="5">
        <v>44673</v>
      </c>
      <c r="D148" s="1">
        <v>44676</v>
      </c>
      <c r="E148" s="4">
        <v>177</v>
      </c>
      <c r="F148">
        <f t="shared" si="8"/>
        <v>3</v>
      </c>
      <c r="G148" s="7">
        <v>1229</v>
      </c>
      <c r="H148" s="2">
        <f t="shared" si="9"/>
        <v>0.14401952807160293</v>
      </c>
      <c r="I148">
        <v>9</v>
      </c>
      <c r="J148" t="s">
        <v>178</v>
      </c>
    </row>
    <row r="149" spans="1:10" x14ac:dyDescent="0.35">
      <c r="A149" t="s">
        <v>142</v>
      </c>
      <c r="B149" t="s">
        <v>214</v>
      </c>
      <c r="C149" s="5">
        <v>44679</v>
      </c>
      <c r="D149" s="1">
        <v>44680</v>
      </c>
      <c r="E149" s="4">
        <v>331</v>
      </c>
      <c r="F149">
        <f t="shared" si="8"/>
        <v>1</v>
      </c>
      <c r="G149" s="7">
        <v>1229</v>
      </c>
      <c r="H149" s="2">
        <f t="shared" si="9"/>
        <v>0.26932465419039869</v>
      </c>
      <c r="I149">
        <v>0</v>
      </c>
      <c r="J149" t="s">
        <v>2</v>
      </c>
    </row>
    <row r="150" spans="1:10" x14ac:dyDescent="0.35">
      <c r="A150" t="s">
        <v>143</v>
      </c>
      <c r="B150" t="s">
        <v>214</v>
      </c>
      <c r="C150" s="5">
        <v>44680</v>
      </c>
      <c r="D150" s="1">
        <v>44684</v>
      </c>
      <c r="E150" s="4">
        <v>201</v>
      </c>
      <c r="F150">
        <f t="shared" si="8"/>
        <v>4</v>
      </c>
      <c r="G150" s="7">
        <v>1229</v>
      </c>
      <c r="H150" s="2">
        <f t="shared" si="9"/>
        <v>0.16354759967453214</v>
      </c>
      <c r="I150">
        <v>118</v>
      </c>
      <c r="J150" t="s">
        <v>2</v>
      </c>
    </row>
    <row r="151" spans="1:10" x14ac:dyDescent="0.35">
      <c r="A151" t="s">
        <v>144</v>
      </c>
      <c r="B151" t="s">
        <v>214</v>
      </c>
      <c r="C151" s="5">
        <v>44701</v>
      </c>
      <c r="D151" s="1">
        <v>44704</v>
      </c>
      <c r="E151" s="4">
        <v>274</v>
      </c>
      <c r="F151">
        <f t="shared" si="8"/>
        <v>3</v>
      </c>
      <c r="G151" s="7">
        <v>1221</v>
      </c>
      <c r="H151" s="2">
        <f t="shared" si="9"/>
        <v>0.2244062244062244</v>
      </c>
      <c r="I151">
        <v>39</v>
      </c>
      <c r="J151" t="s">
        <v>2</v>
      </c>
    </row>
    <row r="152" spans="1:10" x14ac:dyDescent="0.35">
      <c r="A152" t="s">
        <v>145</v>
      </c>
      <c r="B152" t="s">
        <v>214</v>
      </c>
      <c r="C152" s="5">
        <v>44715</v>
      </c>
      <c r="D152" s="1">
        <v>44719</v>
      </c>
      <c r="E152" s="4">
        <v>583</v>
      </c>
      <c r="F152">
        <f t="shared" si="8"/>
        <v>4</v>
      </c>
      <c r="G152" s="7">
        <v>1215</v>
      </c>
      <c r="H152" s="2">
        <f t="shared" si="9"/>
        <v>0.47983539094650207</v>
      </c>
      <c r="I152">
        <v>49</v>
      </c>
      <c r="J152" t="s">
        <v>2</v>
      </c>
    </row>
    <row r="153" spans="1:10" x14ac:dyDescent="0.35">
      <c r="A153" t="s">
        <v>146</v>
      </c>
      <c r="B153" t="s">
        <v>215</v>
      </c>
      <c r="C153" s="5">
        <v>44799</v>
      </c>
      <c r="D153" s="1">
        <v>44802</v>
      </c>
      <c r="E153" s="4">
        <v>471</v>
      </c>
      <c r="F153">
        <f t="shared" si="8"/>
        <v>3</v>
      </c>
      <c r="G153" s="7">
        <v>1195</v>
      </c>
      <c r="H153" s="2">
        <f t="shared" si="9"/>
        <v>0.39414225941422593</v>
      </c>
      <c r="I153">
        <v>43</v>
      </c>
      <c r="J153" t="s">
        <v>177</v>
      </c>
    </row>
    <row r="154" spans="1:10" x14ac:dyDescent="0.35">
      <c r="A154" t="s">
        <v>147</v>
      </c>
      <c r="B154" t="s">
        <v>215</v>
      </c>
      <c r="C154" s="5">
        <v>44806</v>
      </c>
      <c r="D154" s="1">
        <v>44809</v>
      </c>
      <c r="E154" s="4">
        <v>391</v>
      </c>
      <c r="F154">
        <f t="shared" si="8"/>
        <v>3</v>
      </c>
      <c r="G154" s="7">
        <v>1191</v>
      </c>
      <c r="H154" s="2">
        <f t="shared" si="9"/>
        <v>0.32829554995801846</v>
      </c>
      <c r="I154">
        <v>43</v>
      </c>
      <c r="J154" t="s">
        <v>177</v>
      </c>
    </row>
    <row r="155" spans="1:10" x14ac:dyDescent="0.35">
      <c r="A155" t="s">
        <v>148</v>
      </c>
      <c r="B155" t="s">
        <v>214</v>
      </c>
      <c r="C155" s="5">
        <v>44876</v>
      </c>
      <c r="D155" s="1">
        <v>44879</v>
      </c>
      <c r="E155" s="4">
        <v>444</v>
      </c>
      <c r="F155">
        <f t="shared" si="8"/>
        <v>3</v>
      </c>
      <c r="G155" s="7">
        <v>1197</v>
      </c>
      <c r="H155" s="2">
        <f t="shared" si="9"/>
        <v>0.37092731829573933</v>
      </c>
      <c r="I155">
        <v>297</v>
      </c>
      <c r="J155" t="s">
        <v>2</v>
      </c>
    </row>
    <row r="156" spans="1:10" x14ac:dyDescent="0.35">
      <c r="A156" t="s">
        <v>149</v>
      </c>
      <c r="B156" t="s">
        <v>215</v>
      </c>
      <c r="C156" s="5">
        <v>44890</v>
      </c>
      <c r="D156" s="1">
        <v>44893</v>
      </c>
      <c r="E156" s="4">
        <v>187</v>
      </c>
      <c r="F156">
        <f t="shared" si="8"/>
        <v>3</v>
      </c>
      <c r="G156" s="7">
        <v>1199</v>
      </c>
      <c r="H156" s="2">
        <f t="shared" si="9"/>
        <v>0.15596330275229359</v>
      </c>
      <c r="I156">
        <v>19</v>
      </c>
      <c r="J156" t="s">
        <v>177</v>
      </c>
    </row>
    <row r="157" spans="1:10" x14ac:dyDescent="0.35">
      <c r="A157" t="s">
        <v>150</v>
      </c>
      <c r="B157" t="s">
        <v>215</v>
      </c>
      <c r="C157" s="5">
        <v>44897</v>
      </c>
      <c r="D157" s="1">
        <v>44901</v>
      </c>
      <c r="E157" s="4">
        <v>171</v>
      </c>
      <c r="F157">
        <f t="shared" si="8"/>
        <v>4</v>
      </c>
      <c r="G157" s="7">
        <v>1203</v>
      </c>
      <c r="H157" s="2">
        <f t="shared" si="9"/>
        <v>0.14214463840399003</v>
      </c>
      <c r="I157">
        <v>19</v>
      </c>
      <c r="J157" t="s">
        <v>177</v>
      </c>
    </row>
    <row r="158" spans="1:10" x14ac:dyDescent="0.35">
      <c r="A158" t="s">
        <v>151</v>
      </c>
      <c r="B158" t="s">
        <v>214</v>
      </c>
      <c r="C158" s="5">
        <v>44904</v>
      </c>
      <c r="D158" s="1">
        <v>44907</v>
      </c>
      <c r="E158" s="4">
        <v>234</v>
      </c>
      <c r="F158">
        <f t="shared" si="8"/>
        <v>3</v>
      </c>
      <c r="G158" s="7">
        <v>1202</v>
      </c>
      <c r="H158" s="2">
        <f t="shared" si="9"/>
        <v>0.19467554076539101</v>
      </c>
      <c r="I158">
        <v>14</v>
      </c>
      <c r="J158" t="s">
        <v>178</v>
      </c>
    </row>
    <row r="159" spans="1:10" x14ac:dyDescent="0.35">
      <c r="A159" t="s">
        <v>152</v>
      </c>
      <c r="B159" t="s">
        <v>214</v>
      </c>
      <c r="C159" s="5">
        <v>44911</v>
      </c>
      <c r="D159" s="1">
        <v>44914</v>
      </c>
      <c r="E159" s="4">
        <v>235</v>
      </c>
      <c r="F159">
        <f t="shared" si="8"/>
        <v>3</v>
      </c>
      <c r="G159" s="7">
        <v>1200</v>
      </c>
      <c r="H159" s="2">
        <f t="shared" si="9"/>
        <v>0.19583333333333333</v>
      </c>
      <c r="I159">
        <v>43</v>
      </c>
      <c r="J159" t="s">
        <v>2</v>
      </c>
    </row>
    <row r="160" spans="1:10" x14ac:dyDescent="0.35">
      <c r="A160" t="s">
        <v>153</v>
      </c>
      <c r="B160" t="s">
        <v>214</v>
      </c>
      <c r="C160" s="5">
        <v>44932</v>
      </c>
      <c r="D160" s="1">
        <v>44935</v>
      </c>
      <c r="E160" s="4">
        <v>227</v>
      </c>
      <c r="F160">
        <f t="shared" si="8"/>
        <v>3</v>
      </c>
      <c r="G160" s="7">
        <v>1191</v>
      </c>
      <c r="H160" s="2">
        <f t="shared" si="9"/>
        <v>0.19059613769941225</v>
      </c>
      <c r="I160">
        <v>9</v>
      </c>
      <c r="J160" t="s">
        <v>176</v>
      </c>
    </row>
    <row r="161" spans="1:10" x14ac:dyDescent="0.35">
      <c r="A161" t="s">
        <v>154</v>
      </c>
      <c r="B161" t="s">
        <v>214</v>
      </c>
      <c r="C161" s="5">
        <v>44988</v>
      </c>
      <c r="D161" s="1">
        <v>44989</v>
      </c>
      <c r="E161" s="4">
        <v>233</v>
      </c>
      <c r="F161">
        <f t="shared" si="8"/>
        <v>1</v>
      </c>
      <c r="G161" s="7">
        <v>1193</v>
      </c>
      <c r="H161" s="2">
        <f t="shared" si="9"/>
        <v>0.19530595138306789</v>
      </c>
      <c r="I161">
        <v>112</v>
      </c>
      <c r="J161" t="s">
        <v>2</v>
      </c>
    </row>
    <row r="162" spans="1:10" x14ac:dyDescent="0.35">
      <c r="A162" t="s">
        <v>155</v>
      </c>
      <c r="B162" t="s">
        <v>214</v>
      </c>
      <c r="C162" s="5">
        <v>45002</v>
      </c>
      <c r="D162" s="1">
        <v>45005</v>
      </c>
      <c r="E162" s="4">
        <v>205</v>
      </c>
      <c r="F162">
        <f t="shared" si="8"/>
        <v>3</v>
      </c>
      <c r="G162" s="7">
        <v>1190</v>
      </c>
      <c r="H162" s="2">
        <f t="shared" si="9"/>
        <v>0.17226890756302521</v>
      </c>
      <c r="I162">
        <v>74</v>
      </c>
      <c r="J162" t="s">
        <v>177</v>
      </c>
    </row>
    <row r="163" spans="1:10" x14ac:dyDescent="0.35">
      <c r="A163" t="s">
        <v>156</v>
      </c>
      <c r="B163" t="s">
        <v>214</v>
      </c>
      <c r="C163" s="5">
        <v>45002</v>
      </c>
      <c r="D163" s="1">
        <v>45005</v>
      </c>
      <c r="E163" s="4">
        <v>147</v>
      </c>
      <c r="F163">
        <f t="shared" ref="F163:F183" si="10">_xlfn.DAYS(D163,C163)</f>
        <v>3</v>
      </c>
      <c r="G163" s="7">
        <v>1189</v>
      </c>
      <c r="H163" s="2">
        <f t="shared" si="9"/>
        <v>0.12363330529857022</v>
      </c>
      <c r="I163">
        <v>29</v>
      </c>
      <c r="J163" t="s">
        <v>176</v>
      </c>
    </row>
    <row r="164" spans="1:10" x14ac:dyDescent="0.35">
      <c r="A164" t="s">
        <v>157</v>
      </c>
      <c r="B164" t="s">
        <v>214</v>
      </c>
      <c r="C164" s="5">
        <v>45009</v>
      </c>
      <c r="D164" s="1">
        <v>45012</v>
      </c>
      <c r="E164" s="4">
        <v>212</v>
      </c>
      <c r="F164">
        <f t="shared" si="10"/>
        <v>3</v>
      </c>
      <c r="G164" s="7">
        <v>1187</v>
      </c>
      <c r="H164" s="2">
        <f t="shared" si="9"/>
        <v>0.17860151642796968</v>
      </c>
      <c r="I164">
        <v>74</v>
      </c>
      <c r="J164" t="s">
        <v>177</v>
      </c>
    </row>
    <row r="165" spans="1:10" x14ac:dyDescent="0.35">
      <c r="A165" t="s">
        <v>160</v>
      </c>
      <c r="B165" t="s">
        <v>214</v>
      </c>
      <c r="C165" s="5">
        <v>45027</v>
      </c>
      <c r="D165" s="1">
        <v>45028</v>
      </c>
      <c r="E165" s="4">
        <v>257</v>
      </c>
      <c r="F165">
        <f t="shared" si="10"/>
        <v>1</v>
      </c>
      <c r="G165" s="7">
        <v>1182</v>
      </c>
      <c r="H165" s="2">
        <f t="shared" si="9"/>
        <v>0.21742808798646363</v>
      </c>
      <c r="I165">
        <v>53</v>
      </c>
      <c r="J165" t="s">
        <v>2</v>
      </c>
    </row>
    <row r="166" spans="1:10" x14ac:dyDescent="0.35">
      <c r="A166" t="s">
        <v>25</v>
      </c>
      <c r="B166" t="s">
        <v>215</v>
      </c>
      <c r="C166" s="5">
        <v>45037</v>
      </c>
      <c r="D166" s="1">
        <v>45040</v>
      </c>
      <c r="E166" s="4">
        <v>571</v>
      </c>
      <c r="F166">
        <f t="shared" si="10"/>
        <v>3</v>
      </c>
      <c r="G166" s="7">
        <v>1185</v>
      </c>
      <c r="H166" s="2">
        <f t="shared" si="9"/>
        <v>0.48185654008438816</v>
      </c>
      <c r="I166">
        <v>200</v>
      </c>
      <c r="J166" t="s">
        <v>177</v>
      </c>
    </row>
    <row r="167" spans="1:10" x14ac:dyDescent="0.35">
      <c r="A167" t="s">
        <v>158</v>
      </c>
      <c r="B167" t="s">
        <v>214</v>
      </c>
      <c r="C167" s="5">
        <v>45045</v>
      </c>
      <c r="D167" s="1">
        <v>45045</v>
      </c>
      <c r="E167" s="4">
        <v>410</v>
      </c>
      <c r="F167">
        <f t="shared" si="10"/>
        <v>0</v>
      </c>
      <c r="G167" s="7">
        <v>1181</v>
      </c>
      <c r="H167" s="2">
        <f t="shared" si="9"/>
        <v>0.34716342082980522</v>
      </c>
      <c r="I167">
        <v>112</v>
      </c>
      <c r="J167" t="s">
        <v>2</v>
      </c>
    </row>
    <row r="168" spans="1:10" x14ac:dyDescent="0.35">
      <c r="A168" t="s">
        <v>159</v>
      </c>
      <c r="B168" t="s">
        <v>214</v>
      </c>
      <c r="C168" s="1">
        <v>45045</v>
      </c>
      <c r="D168" s="1">
        <v>45045</v>
      </c>
      <c r="E168" s="4">
        <v>414</v>
      </c>
      <c r="F168">
        <f t="shared" si="10"/>
        <v>0</v>
      </c>
      <c r="G168" s="7">
        <v>1182</v>
      </c>
      <c r="H168" s="2">
        <f t="shared" si="9"/>
        <v>0.35025380710659898</v>
      </c>
      <c r="I168">
        <v>87</v>
      </c>
      <c r="J168" t="s">
        <v>2</v>
      </c>
    </row>
    <row r="169" spans="1:10" x14ac:dyDescent="0.35">
      <c r="A169" t="s">
        <v>161</v>
      </c>
      <c r="B169" t="s">
        <v>214</v>
      </c>
      <c r="C169" s="1">
        <v>45045</v>
      </c>
      <c r="D169" s="1">
        <v>45045</v>
      </c>
      <c r="E169" s="4">
        <v>310</v>
      </c>
      <c r="F169">
        <f t="shared" si="10"/>
        <v>0</v>
      </c>
      <c r="G169" s="7">
        <v>1181</v>
      </c>
      <c r="H169" s="2">
        <f t="shared" si="9"/>
        <v>0.26248941574936496</v>
      </c>
      <c r="I169">
        <v>4</v>
      </c>
      <c r="J169" t="s">
        <v>2</v>
      </c>
    </row>
    <row r="170" spans="1:10" x14ac:dyDescent="0.35">
      <c r="A170" t="s">
        <v>163</v>
      </c>
      <c r="B170" t="s">
        <v>214</v>
      </c>
      <c r="C170" s="1">
        <v>45065</v>
      </c>
      <c r="D170" s="1">
        <v>45068</v>
      </c>
      <c r="E170" s="4">
        <v>325</v>
      </c>
      <c r="F170">
        <f t="shared" si="10"/>
        <v>3</v>
      </c>
      <c r="G170" s="7">
        <v>1178</v>
      </c>
      <c r="H170" s="2">
        <f t="shared" si="9"/>
        <v>0.27589134125636672</v>
      </c>
      <c r="I170">
        <v>28</v>
      </c>
      <c r="J170" t="s">
        <v>177</v>
      </c>
    </row>
    <row r="171" spans="1:10" x14ac:dyDescent="0.35">
      <c r="A171" t="s">
        <v>162</v>
      </c>
      <c r="B171" t="s">
        <v>215</v>
      </c>
      <c r="C171" s="1">
        <v>45065</v>
      </c>
      <c r="D171" s="1">
        <v>45068</v>
      </c>
      <c r="E171" s="4">
        <v>412</v>
      </c>
      <c r="F171">
        <f t="shared" si="10"/>
        <v>3</v>
      </c>
      <c r="G171" s="7">
        <v>1178</v>
      </c>
      <c r="H171" s="2">
        <f t="shared" si="9"/>
        <v>0.34974533106960953</v>
      </c>
      <c r="I171">
        <v>53</v>
      </c>
      <c r="J171" t="s">
        <v>177</v>
      </c>
    </row>
    <row r="172" spans="1:10" x14ac:dyDescent="0.35">
      <c r="A172" t="s">
        <v>164</v>
      </c>
      <c r="B172" t="s">
        <v>215</v>
      </c>
      <c r="C172" s="1">
        <v>45065</v>
      </c>
      <c r="D172" s="1">
        <v>45068</v>
      </c>
      <c r="E172" s="4">
        <v>551</v>
      </c>
      <c r="F172">
        <f t="shared" si="10"/>
        <v>3</v>
      </c>
      <c r="G172" s="7">
        <v>1178</v>
      </c>
      <c r="H172" s="2">
        <f t="shared" si="9"/>
        <v>0.46774193548387094</v>
      </c>
      <c r="I172">
        <v>77</v>
      </c>
      <c r="J172" t="s">
        <v>2</v>
      </c>
    </row>
    <row r="173" spans="1:10" x14ac:dyDescent="0.35">
      <c r="A173" t="s">
        <v>165</v>
      </c>
      <c r="B173" t="s">
        <v>214</v>
      </c>
      <c r="C173" s="1">
        <v>45071</v>
      </c>
      <c r="D173" s="1">
        <v>45072</v>
      </c>
      <c r="E173" s="4">
        <v>600</v>
      </c>
      <c r="F173">
        <f t="shared" si="10"/>
        <v>1</v>
      </c>
      <c r="G173" s="7">
        <v>1172</v>
      </c>
      <c r="H173" s="2">
        <f t="shared" si="9"/>
        <v>0.51194539249146753</v>
      </c>
      <c r="I173">
        <v>18</v>
      </c>
      <c r="J173" t="s">
        <v>2</v>
      </c>
    </row>
    <row r="174" spans="1:10" x14ac:dyDescent="0.35">
      <c r="A174" t="s">
        <v>166</v>
      </c>
      <c r="B174" t="s">
        <v>214</v>
      </c>
      <c r="C174" s="1">
        <v>45072</v>
      </c>
      <c r="D174" s="1">
        <v>45073</v>
      </c>
      <c r="E174" s="4">
        <v>502</v>
      </c>
      <c r="F174">
        <f t="shared" si="10"/>
        <v>1</v>
      </c>
      <c r="G174" s="7">
        <v>1172</v>
      </c>
      <c r="H174" s="2">
        <f t="shared" si="9"/>
        <v>0.42832764505119453</v>
      </c>
      <c r="I174">
        <v>26</v>
      </c>
      <c r="J174" t="s">
        <v>2</v>
      </c>
    </row>
    <row r="175" spans="1:10" x14ac:dyDescent="0.35">
      <c r="A175" t="s">
        <v>167</v>
      </c>
      <c r="B175" t="s">
        <v>214</v>
      </c>
      <c r="C175" s="1">
        <v>45079</v>
      </c>
      <c r="D175" s="1">
        <v>45082</v>
      </c>
      <c r="E175" s="4">
        <v>786</v>
      </c>
      <c r="F175">
        <f t="shared" si="10"/>
        <v>3</v>
      </c>
      <c r="G175" s="7">
        <v>1177</v>
      </c>
      <c r="H175" s="2">
        <f t="shared" si="9"/>
        <v>0.66779949022939677</v>
      </c>
      <c r="I175">
        <v>472</v>
      </c>
      <c r="J175" t="s">
        <v>2</v>
      </c>
    </row>
    <row r="176" spans="1:10" x14ac:dyDescent="0.35">
      <c r="A176" t="s">
        <v>168</v>
      </c>
      <c r="B176" t="s">
        <v>214</v>
      </c>
      <c r="C176" s="1">
        <v>45085</v>
      </c>
      <c r="D176" s="1">
        <v>45086</v>
      </c>
      <c r="E176" s="4">
        <v>336</v>
      </c>
      <c r="F176">
        <f t="shared" si="10"/>
        <v>1</v>
      </c>
      <c r="G176" s="7">
        <v>1176</v>
      </c>
      <c r="H176" s="2">
        <f t="shared" si="9"/>
        <v>0.2857142857142857</v>
      </c>
      <c r="I176">
        <v>286</v>
      </c>
      <c r="J176" t="s">
        <v>2</v>
      </c>
    </row>
    <row r="177" spans="1:11" x14ac:dyDescent="0.35">
      <c r="A177" t="s">
        <v>169</v>
      </c>
      <c r="B177" t="s">
        <v>214</v>
      </c>
      <c r="C177" s="1">
        <v>45093</v>
      </c>
      <c r="D177" s="1">
        <v>45096</v>
      </c>
      <c r="E177" s="4">
        <v>514</v>
      </c>
      <c r="F177">
        <f t="shared" si="10"/>
        <v>3</v>
      </c>
      <c r="G177" s="7">
        <v>1177</v>
      </c>
      <c r="H177" s="2">
        <f t="shared" si="9"/>
        <v>0.43670348343245541</v>
      </c>
      <c r="I177">
        <v>54</v>
      </c>
      <c r="J177" t="s">
        <v>2</v>
      </c>
    </row>
    <row r="178" spans="1:11" x14ac:dyDescent="0.35">
      <c r="A178" t="s">
        <v>170</v>
      </c>
      <c r="B178" t="s">
        <v>214</v>
      </c>
      <c r="C178" s="1">
        <v>45093</v>
      </c>
      <c r="D178" s="1">
        <v>45096</v>
      </c>
      <c r="E178" s="4">
        <v>479</v>
      </c>
      <c r="F178">
        <f t="shared" si="10"/>
        <v>3</v>
      </c>
      <c r="G178" s="7">
        <v>1177</v>
      </c>
      <c r="H178" s="2">
        <f t="shared" si="9"/>
        <v>0.40696686491079015</v>
      </c>
      <c r="I178">
        <v>98</v>
      </c>
      <c r="J178" t="s">
        <v>2</v>
      </c>
    </row>
    <row r="179" spans="1:11" x14ac:dyDescent="0.35">
      <c r="A179" t="s">
        <v>171</v>
      </c>
      <c r="B179" t="s">
        <v>215</v>
      </c>
      <c r="C179" s="1">
        <v>45107</v>
      </c>
      <c r="D179" s="1">
        <v>45110</v>
      </c>
      <c r="E179" s="4">
        <v>508</v>
      </c>
      <c r="F179">
        <f t="shared" si="10"/>
        <v>3</v>
      </c>
      <c r="G179" s="7">
        <v>1181</v>
      </c>
      <c r="H179" s="2">
        <f t="shared" si="9"/>
        <v>0.43014394580863674</v>
      </c>
      <c r="I179">
        <v>36</v>
      </c>
      <c r="J179" t="s">
        <v>177</v>
      </c>
    </row>
    <row r="180" spans="1:11" x14ac:dyDescent="0.35">
      <c r="A180" s="4" t="s">
        <v>172</v>
      </c>
      <c r="B180" s="4" t="s">
        <v>214</v>
      </c>
      <c r="C180" s="1">
        <v>45135</v>
      </c>
      <c r="D180" s="1">
        <v>45138</v>
      </c>
      <c r="E180" s="4">
        <v>408</v>
      </c>
      <c r="F180">
        <f t="shared" si="10"/>
        <v>3</v>
      </c>
      <c r="G180" s="4">
        <v>1176</v>
      </c>
      <c r="H180" s="2">
        <f t="shared" si="9"/>
        <v>0.34693877551020408</v>
      </c>
      <c r="I180">
        <v>28</v>
      </c>
      <c r="J180" t="s">
        <v>177</v>
      </c>
      <c r="K180" s="4"/>
    </row>
    <row r="181" spans="1:11" x14ac:dyDescent="0.35">
      <c r="A181" t="s">
        <v>173</v>
      </c>
      <c r="B181" t="s">
        <v>214</v>
      </c>
      <c r="C181" s="1">
        <v>45141</v>
      </c>
      <c r="D181" s="1">
        <v>45142</v>
      </c>
      <c r="E181" s="4">
        <v>294</v>
      </c>
      <c r="F181">
        <f t="shared" si="10"/>
        <v>1</v>
      </c>
      <c r="G181" s="7">
        <v>1173</v>
      </c>
      <c r="H181" s="2">
        <f t="shared" si="9"/>
        <v>0.2506393861892583</v>
      </c>
      <c r="I181">
        <v>28</v>
      </c>
      <c r="J181" t="s">
        <v>177</v>
      </c>
    </row>
    <row r="182" spans="1:11" x14ac:dyDescent="0.35">
      <c r="A182" t="s">
        <v>174</v>
      </c>
      <c r="B182" t="s">
        <v>214</v>
      </c>
      <c r="C182" s="1">
        <v>45170</v>
      </c>
      <c r="D182" s="1">
        <v>45173</v>
      </c>
      <c r="E182" s="4">
        <v>236</v>
      </c>
      <c r="F182">
        <f t="shared" si="10"/>
        <v>3</v>
      </c>
      <c r="G182" s="7">
        <v>1166</v>
      </c>
      <c r="H182" s="2">
        <f t="shared" si="9"/>
        <v>0.20240137221269297</v>
      </c>
      <c r="I182" s="4">
        <v>101</v>
      </c>
      <c r="J182" t="s">
        <v>2</v>
      </c>
    </row>
    <row r="183" spans="1:11" x14ac:dyDescent="0.35">
      <c r="A183" t="s">
        <v>49</v>
      </c>
      <c r="B183" t="s">
        <v>215</v>
      </c>
      <c r="C183" s="1">
        <v>45177</v>
      </c>
      <c r="D183" s="1">
        <v>45180</v>
      </c>
      <c r="E183" s="4">
        <v>297</v>
      </c>
      <c r="F183">
        <f t="shared" si="10"/>
        <v>3</v>
      </c>
      <c r="G183" s="7">
        <v>1171</v>
      </c>
      <c r="H183" s="2">
        <f t="shared" si="9"/>
        <v>0.25362937660119556</v>
      </c>
      <c r="I183">
        <v>80</v>
      </c>
      <c r="J183" t="s">
        <v>177</v>
      </c>
    </row>
    <row r="184" spans="1:11" x14ac:dyDescent="0.35">
      <c r="A184" t="s">
        <v>183</v>
      </c>
      <c r="B184" t="s">
        <v>214</v>
      </c>
      <c r="C184" s="1">
        <v>45184</v>
      </c>
      <c r="D184" s="1">
        <v>45187</v>
      </c>
      <c r="E184" s="4">
        <v>545</v>
      </c>
      <c r="F184" s="1">
        <f>C215</f>
        <v>45324</v>
      </c>
      <c r="G184" s="7">
        <v>1177</v>
      </c>
      <c r="H184" s="2">
        <f t="shared" si="9"/>
        <v>0.46304163126593034</v>
      </c>
      <c r="I184">
        <v>35</v>
      </c>
      <c r="J184" t="s">
        <v>2</v>
      </c>
    </row>
    <row r="185" spans="1:11" x14ac:dyDescent="0.35">
      <c r="A185" t="s">
        <v>184</v>
      </c>
      <c r="B185" t="s">
        <v>215</v>
      </c>
      <c r="C185" s="1">
        <v>45185</v>
      </c>
      <c r="D185" s="1">
        <v>45185</v>
      </c>
      <c r="E185" s="4">
        <v>554</v>
      </c>
      <c r="F185">
        <f t="shared" ref="F185:F215" si="11">_xlfn.DAYS(D185,C185)</f>
        <v>0</v>
      </c>
      <c r="G185" s="7">
        <v>1177</v>
      </c>
      <c r="H185" s="2">
        <f t="shared" si="9"/>
        <v>0.47068819031435855</v>
      </c>
      <c r="I185">
        <v>18</v>
      </c>
      <c r="J185" t="s">
        <v>177</v>
      </c>
    </row>
    <row r="186" spans="1:11" x14ac:dyDescent="0.35">
      <c r="A186" t="s">
        <v>185</v>
      </c>
      <c r="B186" t="s">
        <v>215</v>
      </c>
      <c r="C186" s="1">
        <v>45185</v>
      </c>
      <c r="D186" s="1">
        <v>45185</v>
      </c>
      <c r="E186" s="4">
        <v>543</v>
      </c>
      <c r="F186">
        <f t="shared" si="11"/>
        <v>0</v>
      </c>
      <c r="G186" s="7">
        <v>1177</v>
      </c>
      <c r="H186" s="2">
        <f t="shared" si="9"/>
        <v>0.46134239592183518</v>
      </c>
      <c r="I186">
        <v>18</v>
      </c>
      <c r="J186" t="s">
        <v>177</v>
      </c>
    </row>
    <row r="187" spans="1:11" x14ac:dyDescent="0.35">
      <c r="A187" t="s">
        <v>186</v>
      </c>
      <c r="B187" t="s">
        <v>215</v>
      </c>
      <c r="C187" s="1">
        <v>45185</v>
      </c>
      <c r="D187" s="1">
        <v>45185</v>
      </c>
      <c r="E187" s="4">
        <v>538</v>
      </c>
      <c r="F187">
        <f t="shared" si="11"/>
        <v>0</v>
      </c>
      <c r="G187" s="7">
        <v>1177</v>
      </c>
      <c r="H187" s="2">
        <f t="shared" si="9"/>
        <v>0.4570943075615973</v>
      </c>
      <c r="I187">
        <v>13</v>
      </c>
      <c r="J187" t="s">
        <v>177</v>
      </c>
    </row>
    <row r="188" spans="1:11" x14ac:dyDescent="0.35">
      <c r="A188" t="s">
        <v>187</v>
      </c>
      <c r="B188" t="s">
        <v>215</v>
      </c>
      <c r="C188" s="1">
        <v>45185</v>
      </c>
      <c r="D188" s="1">
        <v>45185</v>
      </c>
      <c r="E188" s="4">
        <v>547</v>
      </c>
      <c r="F188">
        <f t="shared" si="11"/>
        <v>0</v>
      </c>
      <c r="G188" s="7">
        <v>1177</v>
      </c>
      <c r="H188" s="2">
        <f t="shared" si="9"/>
        <v>0.4647408666100255</v>
      </c>
      <c r="I188">
        <v>13</v>
      </c>
      <c r="J188" t="s">
        <v>177</v>
      </c>
    </row>
    <row r="189" spans="1:11" x14ac:dyDescent="0.35">
      <c r="A189" t="s">
        <v>188</v>
      </c>
      <c r="B189" t="s">
        <v>215</v>
      </c>
      <c r="C189" s="1">
        <v>45185</v>
      </c>
      <c r="D189" s="1">
        <v>45185</v>
      </c>
      <c r="E189" s="4">
        <v>546</v>
      </c>
      <c r="F189">
        <f t="shared" si="11"/>
        <v>0</v>
      </c>
      <c r="G189" s="7">
        <v>1177</v>
      </c>
      <c r="H189" s="2">
        <f t="shared" si="9"/>
        <v>0.4638912489379779</v>
      </c>
      <c r="I189">
        <v>13</v>
      </c>
      <c r="J189" t="s">
        <v>177</v>
      </c>
    </row>
    <row r="190" spans="1:11" x14ac:dyDescent="0.35">
      <c r="A190" t="s">
        <v>189</v>
      </c>
      <c r="B190" t="s">
        <v>215</v>
      </c>
      <c r="C190" s="1">
        <v>45185</v>
      </c>
      <c r="D190" s="1">
        <v>45185</v>
      </c>
      <c r="E190" s="4">
        <v>540</v>
      </c>
      <c r="F190">
        <f t="shared" si="11"/>
        <v>0</v>
      </c>
      <c r="G190" s="7">
        <v>1177</v>
      </c>
      <c r="H190" s="2">
        <f t="shared" si="9"/>
        <v>0.45879354290569246</v>
      </c>
      <c r="I190">
        <v>13</v>
      </c>
      <c r="J190" t="s">
        <v>177</v>
      </c>
    </row>
    <row r="191" spans="1:11" x14ac:dyDescent="0.35">
      <c r="A191" t="s">
        <v>33</v>
      </c>
      <c r="B191" t="s">
        <v>215</v>
      </c>
      <c r="C191" s="1">
        <v>45205</v>
      </c>
      <c r="D191" s="1">
        <v>45208</v>
      </c>
      <c r="E191" s="4">
        <v>325</v>
      </c>
      <c r="F191">
        <f t="shared" si="11"/>
        <v>3</v>
      </c>
      <c r="G191" s="7">
        <v>1179</v>
      </c>
      <c r="H191" s="2">
        <f t="shared" si="9"/>
        <v>0.27565733672603904</v>
      </c>
      <c r="I191">
        <v>25</v>
      </c>
      <c r="J191" t="s">
        <v>177</v>
      </c>
    </row>
    <row r="192" spans="1:11" x14ac:dyDescent="0.35">
      <c r="A192" t="s">
        <v>190</v>
      </c>
      <c r="B192" t="s">
        <v>215</v>
      </c>
      <c r="C192" s="1">
        <v>45212</v>
      </c>
      <c r="D192" s="1">
        <v>45215</v>
      </c>
      <c r="E192" s="4">
        <v>524</v>
      </c>
      <c r="F192">
        <f t="shared" si="11"/>
        <v>3</v>
      </c>
      <c r="G192" s="7">
        <v>1178</v>
      </c>
      <c r="H192" s="2">
        <f t="shared" si="9"/>
        <v>0.44482173174872663</v>
      </c>
      <c r="I192">
        <v>17</v>
      </c>
      <c r="J192" t="s">
        <v>177</v>
      </c>
    </row>
    <row r="193" spans="1:10" x14ac:dyDescent="0.35">
      <c r="A193" t="s">
        <v>191</v>
      </c>
      <c r="B193" t="s">
        <v>215</v>
      </c>
      <c r="C193" s="1">
        <v>45212</v>
      </c>
      <c r="D193" s="1">
        <v>45215</v>
      </c>
      <c r="E193" s="4">
        <v>311</v>
      </c>
      <c r="F193">
        <f t="shared" si="11"/>
        <v>3</v>
      </c>
      <c r="G193" s="7">
        <v>1178</v>
      </c>
      <c r="H193" s="2">
        <f t="shared" si="9"/>
        <v>0.26400679117147707</v>
      </c>
      <c r="I193">
        <v>25</v>
      </c>
      <c r="J193" t="s">
        <v>177</v>
      </c>
    </row>
    <row r="194" spans="1:10" x14ac:dyDescent="0.35">
      <c r="A194" t="s">
        <v>192</v>
      </c>
      <c r="B194" t="s">
        <v>215</v>
      </c>
      <c r="C194" s="1">
        <v>45219</v>
      </c>
      <c r="D194" s="1">
        <v>45222</v>
      </c>
      <c r="E194" s="4">
        <v>484</v>
      </c>
      <c r="F194">
        <f t="shared" si="11"/>
        <v>3</v>
      </c>
      <c r="G194" s="7">
        <v>1177</v>
      </c>
      <c r="H194" s="2">
        <f t="shared" si="9"/>
        <v>0.41121495327102803</v>
      </c>
      <c r="I194">
        <v>6</v>
      </c>
      <c r="J194" t="s">
        <v>177</v>
      </c>
    </row>
    <row r="195" spans="1:10" x14ac:dyDescent="0.35">
      <c r="A195" t="s">
        <v>193</v>
      </c>
      <c r="B195" t="s">
        <v>215</v>
      </c>
      <c r="C195" s="1">
        <v>45219</v>
      </c>
      <c r="D195" s="1">
        <v>45222</v>
      </c>
      <c r="E195" s="4">
        <v>493</v>
      </c>
      <c r="F195">
        <f t="shared" si="11"/>
        <v>3</v>
      </c>
      <c r="G195" s="7">
        <v>1177</v>
      </c>
      <c r="H195" s="2">
        <f t="shared" ref="H195:H215" si="12">E195/G195</f>
        <v>0.41886151231945623</v>
      </c>
      <c r="I195">
        <v>6</v>
      </c>
      <c r="J195" t="s">
        <v>177</v>
      </c>
    </row>
    <row r="196" spans="1:10" x14ac:dyDescent="0.35">
      <c r="A196" t="s">
        <v>194</v>
      </c>
      <c r="B196" t="s">
        <v>215</v>
      </c>
      <c r="C196" s="1">
        <v>45226</v>
      </c>
      <c r="D196" s="1">
        <v>45229</v>
      </c>
      <c r="E196" s="4">
        <v>534</v>
      </c>
      <c r="F196">
        <f t="shared" si="11"/>
        <v>3</v>
      </c>
      <c r="G196" s="7">
        <v>1180</v>
      </c>
      <c r="H196" s="2">
        <f t="shared" si="12"/>
        <v>0.45254237288135596</v>
      </c>
      <c r="I196">
        <v>5</v>
      </c>
      <c r="J196" t="s">
        <v>177</v>
      </c>
    </row>
    <row r="197" spans="1:10" x14ac:dyDescent="0.35">
      <c r="A197" t="s">
        <v>196</v>
      </c>
      <c r="B197" t="s">
        <v>215</v>
      </c>
      <c r="C197" s="1">
        <v>45233</v>
      </c>
      <c r="D197" s="1">
        <v>45236</v>
      </c>
      <c r="E197" s="4">
        <v>517</v>
      </c>
      <c r="F197">
        <f t="shared" si="11"/>
        <v>3</v>
      </c>
      <c r="G197" s="7">
        <v>1184</v>
      </c>
      <c r="H197" s="2">
        <f t="shared" si="12"/>
        <v>0.43665540540540543</v>
      </c>
      <c r="I197">
        <v>17</v>
      </c>
      <c r="J197" t="s">
        <v>177</v>
      </c>
    </row>
    <row r="198" spans="1:10" x14ac:dyDescent="0.35">
      <c r="A198" t="s">
        <v>197</v>
      </c>
      <c r="B198" t="s">
        <v>215</v>
      </c>
      <c r="C198" s="1">
        <v>45233</v>
      </c>
      <c r="D198" s="1">
        <v>45236</v>
      </c>
      <c r="E198" s="4">
        <v>449</v>
      </c>
      <c r="F198">
        <f t="shared" si="11"/>
        <v>3</v>
      </c>
      <c r="G198" s="7">
        <v>1184</v>
      </c>
      <c r="H198" s="2">
        <f t="shared" si="12"/>
        <v>0.37922297297297297</v>
      </c>
      <c r="I198">
        <v>17</v>
      </c>
      <c r="J198" t="s">
        <v>177</v>
      </c>
    </row>
    <row r="199" spans="1:10" x14ac:dyDescent="0.35">
      <c r="A199" t="s">
        <v>198</v>
      </c>
      <c r="B199" t="s">
        <v>214</v>
      </c>
      <c r="C199" s="1">
        <v>45233</v>
      </c>
      <c r="D199" s="1">
        <v>45236</v>
      </c>
      <c r="E199" s="4">
        <v>685</v>
      </c>
      <c r="F199">
        <f t="shared" si="11"/>
        <v>3</v>
      </c>
      <c r="G199" s="7">
        <v>1184</v>
      </c>
      <c r="H199" s="2">
        <f t="shared" si="12"/>
        <v>0.57854729729729726</v>
      </c>
      <c r="I199">
        <v>127</v>
      </c>
      <c r="J199" t="s">
        <v>2</v>
      </c>
    </row>
    <row r="200" spans="1:10" x14ac:dyDescent="0.35">
      <c r="A200" t="s">
        <v>195</v>
      </c>
      <c r="B200" t="s">
        <v>215</v>
      </c>
      <c r="C200" s="1">
        <v>45233</v>
      </c>
      <c r="D200" s="1">
        <v>45236</v>
      </c>
      <c r="E200" s="4">
        <v>518</v>
      </c>
      <c r="F200">
        <f t="shared" si="11"/>
        <v>3</v>
      </c>
      <c r="G200" s="7">
        <v>1184</v>
      </c>
      <c r="H200" s="2">
        <f t="shared" si="12"/>
        <v>0.4375</v>
      </c>
      <c r="I200">
        <v>19</v>
      </c>
      <c r="J200" t="s">
        <v>178</v>
      </c>
    </row>
    <row r="201" spans="1:10" x14ac:dyDescent="0.35">
      <c r="A201" t="s">
        <v>199</v>
      </c>
      <c r="B201" t="s">
        <v>215</v>
      </c>
      <c r="C201" s="1">
        <v>45240</v>
      </c>
      <c r="D201" s="1">
        <v>45243</v>
      </c>
      <c r="E201" s="4">
        <v>423</v>
      </c>
      <c r="F201">
        <f t="shared" si="11"/>
        <v>3</v>
      </c>
      <c r="G201" s="7">
        <v>1190</v>
      </c>
      <c r="H201" s="2">
        <f t="shared" si="12"/>
        <v>0.35546218487394959</v>
      </c>
      <c r="I201">
        <v>18</v>
      </c>
      <c r="J201" t="s">
        <v>177</v>
      </c>
    </row>
    <row r="202" spans="1:10" x14ac:dyDescent="0.35">
      <c r="A202" t="s">
        <v>200</v>
      </c>
      <c r="B202" t="s">
        <v>215</v>
      </c>
      <c r="C202" s="1">
        <v>45254</v>
      </c>
      <c r="D202" s="1">
        <v>45257</v>
      </c>
      <c r="E202" s="4">
        <v>341</v>
      </c>
      <c r="F202">
        <f t="shared" si="11"/>
        <v>3</v>
      </c>
      <c r="G202" s="7">
        <v>1183</v>
      </c>
      <c r="H202" s="2">
        <f t="shared" si="12"/>
        <v>0.28825021132713441</v>
      </c>
      <c r="I202">
        <v>26</v>
      </c>
      <c r="J202" t="s">
        <v>177</v>
      </c>
    </row>
    <row r="203" spans="1:10" x14ac:dyDescent="0.35">
      <c r="A203" t="s">
        <v>201</v>
      </c>
      <c r="B203" t="s">
        <v>214</v>
      </c>
      <c r="C203" s="1">
        <v>45268</v>
      </c>
      <c r="D203" s="1">
        <v>45271</v>
      </c>
      <c r="E203" s="4">
        <v>334</v>
      </c>
      <c r="F203">
        <f t="shared" si="11"/>
        <v>3</v>
      </c>
      <c r="G203" s="7">
        <v>1184</v>
      </c>
      <c r="H203" s="2">
        <f t="shared" si="12"/>
        <v>0.28209459459459457</v>
      </c>
      <c r="I203">
        <v>39</v>
      </c>
      <c r="J203" t="s">
        <v>2</v>
      </c>
    </row>
    <row r="204" spans="1:10" x14ac:dyDescent="0.35">
      <c r="A204" t="s">
        <v>202</v>
      </c>
      <c r="B204" t="s">
        <v>214</v>
      </c>
      <c r="C204" s="1">
        <v>45268</v>
      </c>
      <c r="D204" s="1">
        <v>45271</v>
      </c>
      <c r="E204" s="4">
        <v>271</v>
      </c>
      <c r="F204">
        <f t="shared" si="11"/>
        <v>3</v>
      </c>
      <c r="G204" s="7">
        <v>1183</v>
      </c>
      <c r="H204" s="2">
        <f t="shared" si="12"/>
        <v>0.22907861369399832</v>
      </c>
      <c r="I204">
        <v>8</v>
      </c>
      <c r="J204" t="s">
        <v>2</v>
      </c>
    </row>
    <row r="205" spans="1:10" x14ac:dyDescent="0.35">
      <c r="A205" t="s">
        <v>204</v>
      </c>
      <c r="B205" t="s">
        <v>214</v>
      </c>
      <c r="C205" s="1">
        <v>45275</v>
      </c>
      <c r="D205" s="1">
        <v>45278</v>
      </c>
      <c r="E205" s="4">
        <v>494</v>
      </c>
      <c r="F205">
        <f t="shared" si="11"/>
        <v>3</v>
      </c>
      <c r="G205" s="7">
        <v>1184</v>
      </c>
      <c r="H205" s="2">
        <f t="shared" si="12"/>
        <v>0.41722972972972971</v>
      </c>
      <c r="I205">
        <v>13</v>
      </c>
      <c r="J205" t="s">
        <v>2</v>
      </c>
    </row>
    <row r="206" spans="1:10" x14ac:dyDescent="0.35">
      <c r="A206" t="s">
        <v>203</v>
      </c>
      <c r="B206" t="s">
        <v>215</v>
      </c>
      <c r="C206" s="1">
        <v>45275</v>
      </c>
      <c r="D206" s="1">
        <v>45278</v>
      </c>
      <c r="E206" s="4">
        <v>549</v>
      </c>
      <c r="F206">
        <f t="shared" si="11"/>
        <v>3</v>
      </c>
      <c r="G206" s="7">
        <v>1183</v>
      </c>
      <c r="H206" s="2">
        <f t="shared" si="12"/>
        <v>0.46407438715131022</v>
      </c>
      <c r="I206">
        <v>61</v>
      </c>
      <c r="J206" t="s">
        <v>178</v>
      </c>
    </row>
    <row r="207" spans="1:10" x14ac:dyDescent="0.35">
      <c r="A207" t="s">
        <v>206</v>
      </c>
      <c r="B207" t="s">
        <v>214</v>
      </c>
      <c r="C207" s="1">
        <v>45282</v>
      </c>
      <c r="D207" s="1">
        <v>45287</v>
      </c>
      <c r="E207" s="4">
        <v>346</v>
      </c>
      <c r="F207">
        <f t="shared" si="11"/>
        <v>5</v>
      </c>
      <c r="G207" s="7">
        <v>1182</v>
      </c>
      <c r="H207" s="2">
        <f t="shared" si="12"/>
        <v>0.2927241962774958</v>
      </c>
      <c r="I207">
        <v>86</v>
      </c>
      <c r="J207" t="s">
        <v>2</v>
      </c>
    </row>
    <row r="208" spans="1:10" x14ac:dyDescent="0.35">
      <c r="A208" t="s">
        <v>205</v>
      </c>
      <c r="B208" t="s">
        <v>215</v>
      </c>
      <c r="C208" s="1">
        <v>45282</v>
      </c>
      <c r="D208" s="1">
        <v>45287</v>
      </c>
      <c r="E208" s="4">
        <v>509</v>
      </c>
      <c r="F208">
        <f t="shared" si="11"/>
        <v>5</v>
      </c>
      <c r="G208" s="7">
        <v>1182</v>
      </c>
      <c r="H208" s="2">
        <f t="shared" si="12"/>
        <v>0.43062605752961081</v>
      </c>
      <c r="I208">
        <v>61</v>
      </c>
      <c r="J208" t="s">
        <v>178</v>
      </c>
    </row>
    <row r="209" spans="1:10" x14ac:dyDescent="0.35">
      <c r="A209" t="s">
        <v>125</v>
      </c>
      <c r="B209" t="s">
        <v>215</v>
      </c>
      <c r="C209" s="1">
        <v>45304</v>
      </c>
      <c r="D209" s="1">
        <v>45304</v>
      </c>
      <c r="E209" s="4">
        <v>820</v>
      </c>
      <c r="F209">
        <f t="shared" si="11"/>
        <v>0</v>
      </c>
      <c r="G209" s="7">
        <v>1177</v>
      </c>
      <c r="H209" s="2">
        <f t="shared" si="12"/>
        <v>0.69668649107901448</v>
      </c>
      <c r="I209">
        <v>14</v>
      </c>
      <c r="J209" t="s">
        <v>177</v>
      </c>
    </row>
    <row r="210" spans="1:10" x14ac:dyDescent="0.35">
      <c r="A210" t="s">
        <v>207</v>
      </c>
      <c r="B210" t="s">
        <v>215</v>
      </c>
      <c r="C210" s="1">
        <v>45304</v>
      </c>
      <c r="D210" s="1">
        <v>45304</v>
      </c>
      <c r="E210" s="4">
        <v>874</v>
      </c>
      <c r="F210">
        <f t="shared" si="11"/>
        <v>0</v>
      </c>
      <c r="G210" s="7">
        <v>1177</v>
      </c>
      <c r="H210" s="2">
        <f t="shared" si="12"/>
        <v>0.7425658453695837</v>
      </c>
      <c r="I210">
        <v>14</v>
      </c>
      <c r="J210" t="s">
        <v>177</v>
      </c>
    </row>
    <row r="211" spans="1:10" x14ac:dyDescent="0.35">
      <c r="A211" t="s">
        <v>209</v>
      </c>
      <c r="B211" t="s">
        <v>215</v>
      </c>
      <c r="C211" s="1">
        <v>45304</v>
      </c>
      <c r="D211" s="1">
        <v>45304</v>
      </c>
      <c r="E211" s="4">
        <v>773</v>
      </c>
      <c r="F211">
        <f t="shared" si="11"/>
        <v>0</v>
      </c>
      <c r="G211" s="7">
        <v>1177</v>
      </c>
      <c r="H211" s="2">
        <f t="shared" si="12"/>
        <v>0.6567544604927783</v>
      </c>
      <c r="I211">
        <v>14</v>
      </c>
      <c r="J211" t="s">
        <v>177</v>
      </c>
    </row>
    <row r="212" spans="1:10" x14ac:dyDescent="0.35">
      <c r="A212" t="s">
        <v>210</v>
      </c>
      <c r="B212" t="s">
        <v>215</v>
      </c>
      <c r="C212" s="1">
        <v>45304</v>
      </c>
      <c r="D212" s="1">
        <v>45304</v>
      </c>
      <c r="E212" s="4">
        <v>796</v>
      </c>
      <c r="F212">
        <f t="shared" si="11"/>
        <v>0</v>
      </c>
      <c r="G212" s="7">
        <v>1177</v>
      </c>
      <c r="H212" s="2">
        <f t="shared" si="12"/>
        <v>0.67629566694987253</v>
      </c>
      <c r="I212">
        <v>14</v>
      </c>
      <c r="J212" t="s">
        <v>177</v>
      </c>
    </row>
    <row r="213" spans="1:10" x14ac:dyDescent="0.35">
      <c r="A213" t="s">
        <v>208</v>
      </c>
      <c r="B213" t="s">
        <v>215</v>
      </c>
      <c r="C213" s="1">
        <v>45304</v>
      </c>
      <c r="D213" s="1">
        <v>45304</v>
      </c>
      <c r="E213" s="4">
        <v>793</v>
      </c>
      <c r="F213">
        <f t="shared" si="11"/>
        <v>0</v>
      </c>
      <c r="G213" s="7">
        <v>1177</v>
      </c>
      <c r="H213" s="2">
        <f t="shared" si="12"/>
        <v>0.67374681393372982</v>
      </c>
      <c r="I213">
        <v>15</v>
      </c>
      <c r="J213" t="s">
        <v>177</v>
      </c>
    </row>
    <row r="214" spans="1:10" x14ac:dyDescent="0.35">
      <c r="A214" t="s">
        <v>211</v>
      </c>
      <c r="B214" t="s">
        <v>215</v>
      </c>
      <c r="C214" s="1">
        <v>45317</v>
      </c>
      <c r="D214" s="1">
        <v>45320</v>
      </c>
      <c r="E214" s="4">
        <v>621</v>
      </c>
      <c r="F214">
        <f t="shared" si="11"/>
        <v>3</v>
      </c>
      <c r="G214" s="7">
        <v>1176</v>
      </c>
      <c r="H214" s="2">
        <f t="shared" si="12"/>
        <v>0.52806122448979587</v>
      </c>
      <c r="I214">
        <v>119</v>
      </c>
      <c r="J214" t="s">
        <v>177</v>
      </c>
    </row>
    <row r="215" spans="1:10" x14ac:dyDescent="0.35">
      <c r="A215" t="s">
        <v>212</v>
      </c>
      <c r="B215" t="s">
        <v>214</v>
      </c>
      <c r="C215" s="1">
        <v>45324</v>
      </c>
      <c r="D215" s="1">
        <v>45414</v>
      </c>
      <c r="E215" s="4">
        <v>361</v>
      </c>
      <c r="F215">
        <f t="shared" si="11"/>
        <v>90</v>
      </c>
      <c r="G215" s="7">
        <v>1178</v>
      </c>
      <c r="H215" s="2">
        <f t="shared" si="12"/>
        <v>0.30645161290322581</v>
      </c>
      <c r="I215">
        <v>56</v>
      </c>
      <c r="J215" t="s">
        <v>2</v>
      </c>
    </row>
  </sheetData>
  <sortState xmlns:xlrd2="http://schemas.microsoft.com/office/spreadsheetml/2017/richdata2" ref="A3:L215">
    <sortCondition ref="C1:C215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Malý</dc:creator>
  <cp:lastModifiedBy>David Chaloupka</cp:lastModifiedBy>
  <dcterms:created xsi:type="dcterms:W3CDTF">2023-09-29T19:46:30Z</dcterms:created>
  <dcterms:modified xsi:type="dcterms:W3CDTF">2026-01-07T22:28:31Z</dcterms:modified>
</cp:coreProperties>
</file>